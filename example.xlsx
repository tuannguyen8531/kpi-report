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o cáo công việc" sheetId="1" r:id="rId4"/>
    <sheet state="visible" name="Chấm điểm KPI" sheetId="2" r:id="rId5"/>
  </sheets>
  <definedNames/>
  <calcPr/>
  <extLst>
    <ext uri="GoogleSheetsCustomDataVersion2">
      <go:sheetsCustomData xmlns:go="http://customooxmlschemas.google.com/" r:id="rId6" roundtripDataChecksum="E2DARwrXwBXi/+6qlGvcOntWGYbj2TK90bb9RgqGTog="/>
    </ext>
  </extLst>
</workbook>
</file>

<file path=xl/sharedStrings.xml><?xml version="1.0" encoding="utf-8"?>
<sst xmlns="http://schemas.openxmlformats.org/spreadsheetml/2006/main" count="199" uniqueCount="111">
  <si>
    <t>BẢNG KPI ĐÁNH GIÁ HIỆU QUẢ CÔNG VIỆC</t>
  </si>
  <si>
    <t>Tháng 01/09/2026 - 30/09/2026</t>
  </si>
  <si>
    <t>AI-Chat Service</t>
  </si>
  <si>
    <t>Thống Kê</t>
  </si>
  <si>
    <t xml:space="preserve">Chu kỳ đánh giá: hàng tháng </t>
  </si>
  <si>
    <t xml:space="preserve">Tasks </t>
  </si>
  <si>
    <t>Start date</t>
  </si>
  <si>
    <t>Due date</t>
  </si>
  <si>
    <t>Closed date</t>
  </si>
  <si>
    <t>Estimate (h)</t>
  </si>
  <si>
    <t>Spent (h)</t>
  </si>
  <si>
    <t>Cách chấm điểm: Mỗi tiêu chí có điểm tối đa là 5.</t>
  </si>
  <si>
    <t>Số lần bị reopen</t>
  </si>
  <si>
    <t>Loại task</t>
  </si>
  <si>
    <t>Tiến độ</t>
  </si>
  <si>
    <t xml:space="preserve">Tổng số task </t>
  </si>
  <si>
    <t>https://gitlab.widosoft.com/wido-ai-chat/ai-chat-service/-/work_items/579</t>
  </si>
  <si>
    <t>Mức điểm KPI</t>
  </si>
  <si>
    <t>Đánh giá</t>
  </si>
  <si>
    <t>Chế độ thưởng/phạt hằng tháng</t>
  </si>
  <si>
    <t>08/31/2026</t>
  </si>
  <si>
    <t>4,5 - 5</t>
  </si>
  <si>
    <t>Kế hoạch</t>
  </si>
  <si>
    <t>Đúng hạn</t>
  </si>
  <si>
    <t xml:space="preserve">Tổng số task kế hoạch </t>
  </si>
  <si>
    <t>https://gitlab.widosoft.com/wido-ai-chat/ai-chat-service/-/work_items/583</t>
  </si>
  <si>
    <t>Xuất sắc</t>
  </si>
  <si>
    <r>
      <rPr>
        <rFont val="Times New Roman"/>
        <color theme="1"/>
        <sz val="10.0"/>
      </rPr>
      <t xml:space="preserve">Được xếp loại đánh giá </t>
    </r>
    <r>
      <rPr>
        <rFont val="Times New Roman"/>
        <color rgb="FF0000FF"/>
        <sz val="10.0"/>
      </rPr>
      <t>X</t>
    </r>
    <r>
      <rPr>
        <rFont val="Times New Roman"/>
        <color theme="1"/>
        <sz val="10.0"/>
      </rPr>
      <t>u</t>
    </r>
    <r>
      <rPr>
        <rFont val="Times New Roman"/>
        <color rgb="FF0000FF"/>
        <sz val="10.0"/>
      </rPr>
      <t>ất sắc</t>
    </r>
    <r>
      <rPr>
        <rFont val="Times New Roman"/>
        <color theme="1"/>
        <sz val="10.0"/>
      </rPr>
      <t xml:space="preserve"> trong tháng đó.</t>
    </r>
  </si>
  <si>
    <t>4 - 4,49</t>
  </si>
  <si>
    <t>Tốt</t>
  </si>
  <si>
    <t xml:space="preserve">Tổng số task phát sinh </t>
  </si>
  <si>
    <r>
      <rPr>
        <rFont val="Times New Roman"/>
        <color theme="1"/>
        <sz val="10.0"/>
      </rPr>
      <t xml:space="preserve">Được xếp loại đánh giá </t>
    </r>
    <r>
      <rPr>
        <rFont val="Times New Roman"/>
        <color rgb="FF0000FF"/>
        <sz val="10.0"/>
      </rPr>
      <t>Tốt</t>
    </r>
    <r>
      <rPr>
        <rFont val="Times New Roman"/>
        <color theme="1"/>
        <sz val="10.0"/>
      </rPr>
      <t xml:space="preserve"> trong tháng đó.</t>
    </r>
  </si>
  <si>
    <t>https://gitlab.widosoft.com/wido-ai-chat/ai-chat-service/-/work_items/584</t>
  </si>
  <si>
    <t>3,5 - 3,99</t>
  </si>
  <si>
    <t>Đạt yêu cầu</t>
  </si>
  <si>
    <t>Không có thưởng phạt.</t>
  </si>
  <si>
    <t>2,5 - 3,5</t>
  </si>
  <si>
    <t>Kém</t>
  </si>
  <si>
    <t>Bị cảnh cáo hoặc khiển trách. Có thể xem xét bị chuyển vị trí khác.</t>
  </si>
  <si>
    <t>&lt; 2,5</t>
  </si>
  <si>
    <t>Rất kém</t>
  </si>
  <si>
    <t>Bị phạt tài chính (5% lương tháng). Có thể xem xét bị chuyển vị trí khác hoặc bị chấm dứt hợp đồng.</t>
  </si>
  <si>
    <t>Tổng thời gian làm việc theo lịch công ty (h)</t>
  </si>
  <si>
    <t>Chỗ này luôn để là 192h</t>
  </si>
  <si>
    <t>https://gitlab.widosoft.com/wido-ai-chat/ai-chat-service/-/work_items/586</t>
  </si>
  <si>
    <t>09/16/2026</t>
  </si>
  <si>
    <t>Tổng thời gian Estimate (h)</t>
  </si>
  <si>
    <t>No</t>
  </si>
  <si>
    <t>Tiêu chí</t>
  </si>
  <si>
    <t>Chỉ số đo lường</t>
  </si>
  <si>
    <t>Cách đo lường</t>
  </si>
  <si>
    <t>Trọng số</t>
  </si>
  <si>
    <t>Số liệu thực tế</t>
  </si>
  <si>
    <t>Điểm (0-5)</t>
  </si>
  <si>
    <t>Thang điểm</t>
  </si>
  <si>
    <t>Tổng thời gian Spent time (h)</t>
  </si>
  <si>
    <t xml:space="preserve">Tổng thời gian Spent time (h) của task kế hoạch </t>
  </si>
  <si>
    <t>Thái độ 
(Đúng quy trình làm task)</t>
  </si>
  <si>
    <t>KRM</t>
  </si>
  <si>
    <t xml:space="preserve">Tổng thời gian Spent time (h) của task phát sinh </t>
  </si>
  <si>
    <t xml:space="preserve">Số lượng task chưa có Estimate / Tổng số task </t>
  </si>
  <si>
    <t>Số lượng task chưa có Start date</t>
  </si>
  <si>
    <t>Dữ liệu từ hệ thống Gitlab</t>
  </si>
  <si>
    <t>https://gitlab.widosoft.com/krm/wido-krm-v2/-/work_items/2789</t>
  </si>
  <si>
    <t>Số lượng task chưa có Due date</t>
  </si>
  <si>
    <t>≥ 80%</t>
  </si>
  <si>
    <t>https://gitlab.widosoft.com/krm/wido-krm-v2/-/work_items/2806</t>
  </si>
  <si>
    <t>50% - 79%</t>
  </si>
  <si>
    <t>09/14/2026</t>
  </si>
  <si>
    <t>09/30/2026</t>
  </si>
  <si>
    <t xml:space="preserve">Số lượng task chưa có Estimate </t>
  </si>
  <si>
    <t>30% - 49%</t>
  </si>
  <si>
    <t>Số lượng task chưa có Spent time</t>
  </si>
  <si>
    <t xml:space="preserve">Tổng số task đúng hạn </t>
  </si>
  <si>
    <t>Support SI</t>
  </si>
  <si>
    <t>10% - 29%</t>
  </si>
  <si>
    <t xml:space="preserve">Tổng số task trễ hạn </t>
  </si>
  <si>
    <t>&lt; 10%</t>
  </si>
  <si>
    <t>AICS</t>
  </si>
  <si>
    <t xml:space="preserve">Tổng số task không bị reopen </t>
  </si>
  <si>
    <t>Số lượng task chưa có Start date / Tổng số task</t>
  </si>
  <si>
    <t xml:space="preserve">Tổng số task có bị reopen </t>
  </si>
  <si>
    <t>MAG</t>
  </si>
  <si>
    <t>Tỉ lệ (%)</t>
  </si>
  <si>
    <t>Nghiên cứu MAG</t>
  </si>
  <si>
    <t xml:space="preserve">Số lượng task chưa có Start date / Tổng số task </t>
  </si>
  <si>
    <t xml:space="preserve">Số lượng task chưa có Due date / Tổng số task </t>
  </si>
  <si>
    <t xml:space="preserve">Số lượng task chưa có Spent time / Tổng số task </t>
  </si>
  <si>
    <t xml:space="preserve">Tổng số task đúng hạn / Tổng số task </t>
  </si>
  <si>
    <t>Tổng số task trễ hạn / Tổng số task</t>
  </si>
  <si>
    <t>Tổng số task không bị reopen / Tổng số task</t>
  </si>
  <si>
    <t xml:space="preserve">Tổng số task có bị reopen / Tổng số task </t>
  </si>
  <si>
    <t xml:space="preserve">Tổng số task phát sinh / Tổng số task </t>
  </si>
  <si>
    <t>Tổng thời gian Spent time / Tổng thời gian làm việc theo lịch công ty</t>
  </si>
  <si>
    <t xml:space="preserve">Tổng thời gian Spent time / Tổng thời gian Estimate </t>
  </si>
  <si>
    <t>Tổng thời gian Spent time của task kế hoạch / Tổng thời gian Spent time</t>
  </si>
  <si>
    <t>Tổng thời gian Spent time của task phát sinh / Tổng thời gian Spent time</t>
  </si>
  <si>
    <t>Khối lượng</t>
  </si>
  <si>
    <t>&lt; 70%</t>
  </si>
  <si>
    <t>70% - 79%</t>
  </si>
  <si>
    <t>80% - 89%</t>
  </si>
  <si>
    <t>90% - 99%</t>
  </si>
  <si>
    <t>≥ 100%</t>
  </si>
  <si>
    <t>Chất lượng</t>
  </si>
  <si>
    <t xml:space="preserve">KPI hiệu quả </t>
  </si>
  <si>
    <t>GIẢI TRÌNH
(Trình bày các nguyên nhân ảnh hưởng đến các thông số trên - nếu có)</t>
  </si>
  <si>
    <t>1. Support SI AICS, KRM
2. Nghỉ lễ 16h (02/09, 03/09)</t>
  </si>
  <si>
    <t>TỰ ĐÁNH GIÁ HIỆU QUẢ</t>
  </si>
  <si>
    <t>1. Hoàn thành tốt và đúng hạn các công việc được giao
2. Đã có thể giao tiếp cơ bản với KH</t>
  </si>
  <si>
    <t>TỰ ĐÁNH GIÁ ĐIỂM CẦN CẢI THIỆN</t>
  </si>
  <si>
    <t xml:space="preserve">1. Cải thiện tốc độ code 
2. Review code kỹ và chính xác để hạn chế việc reopen gây trễ hạn
3. Cần nâng cao khả năng đối ứng KH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</si>
</sst>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b/>
      <color theme="1"/>
      <name val="Times New Roman"/>
    </font>
    <font>
      <b/>
      <sz val="16.0"/>
      <color theme="1"/>
      <name val="Times New Roman"/>
    </font>
    <font>
      <color theme="1"/>
      <name val="Arial"/>
    </font>
    <font>
      <color rgb="FF000000"/>
      <name val="Arial"/>
      <scheme val="minor"/>
    </font>
    <font>
      <sz val="10.0"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sz val="10.0"/>
      <color rgb="FF0000FF"/>
      <name val="Times New Roman"/>
    </font>
    <font>
      <sz val="10.0"/>
      <color rgb="FFFF0000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7" numFmtId="0" xfId="0" applyFont="1"/>
    <xf borderId="1" fillId="2" fontId="1" numFmtId="0" xfId="0" applyAlignment="1" applyBorder="1" applyFill="1" applyFont="1">
      <alignment horizontal="center"/>
    </xf>
    <xf borderId="2" fillId="0" fontId="8" numFmtId="0" xfId="0" applyBorder="1" applyFont="1"/>
    <xf borderId="3" fillId="2" fontId="9" numFmtId="0" xfId="0" applyAlignment="1" applyBorder="1" applyFill="1" applyFont="1">
      <alignment vertical="bottom"/>
    </xf>
    <xf borderId="3" fillId="2" fontId="9" numFmtId="14" xfId="0" applyAlignment="1" applyBorder="1" applyFill="1" applyFont="1" applyNumberFormat="1">
      <alignment vertical="bottom"/>
    </xf>
    <xf borderId="0" fillId="0" fontId="1" numFmtId="0" xfId="0" applyAlignment="1" applyFont="1">
      <alignment horizontal="left"/>
    </xf>
    <xf borderId="3" fillId="3" fontId="1" numFmtId="0" xfId="0" applyBorder="1" applyFill="1" applyFont="1"/>
    <xf borderId="3" fillId="0" fontId="1" numFmtId="0" xfId="0" applyAlignment="1" applyBorder="1" applyFont="1">
      <alignment readingOrder="0"/>
    </xf>
    <xf borderId="4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3" fillId="4" fontId="2" numFmtId="0" xfId="0" applyAlignment="1" applyBorder="1" applyFill="1" applyFont="1">
      <alignment shrinkToFit="0" wrapText="1"/>
    </xf>
    <xf borderId="5" fillId="0" fontId="8" numFmtId="0" xfId="0" applyBorder="1" applyFont="1"/>
    <xf borderId="3" fillId="0" fontId="10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left" readingOrder="0"/>
    </xf>
    <xf borderId="3" fillId="0" fontId="9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shrinkToFit="0" wrapText="1"/>
    </xf>
    <xf borderId="3" fillId="0" fontId="11" numFmtId="0" xfId="0" applyAlignment="1" applyBorder="1" applyFont="1">
      <alignment shrinkToFit="0" wrapText="1"/>
    </xf>
    <xf borderId="3" fillId="0" fontId="9" numFmtId="0" xfId="0" applyAlignment="1" applyBorder="1" applyFont="1">
      <alignment horizontal="left"/>
    </xf>
    <xf borderId="3" fillId="0" fontId="1" numFmtId="0" xfId="0" applyBorder="1" applyFont="1"/>
    <xf borderId="3" fillId="0" fontId="1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6" fillId="0" fontId="1" numFmtId="0" xfId="0" applyBorder="1" applyFont="1"/>
    <xf borderId="7" fillId="4" fontId="2" numFmtId="0" xfId="0" applyAlignment="1" applyBorder="1" applyFill="1" applyFont="1">
      <alignment horizontal="center"/>
    </xf>
    <xf borderId="8" fillId="4" fontId="2" numFmtId="0" xfId="0" applyAlignment="1" applyBorder="1" applyFill="1" applyFont="1">
      <alignment horizontal="center"/>
    </xf>
    <xf borderId="9" fillId="4" fontId="2" numFmtId="0" xfId="0" applyAlignment="1" applyBorder="1" applyFill="1" applyFont="1">
      <alignment horizontal="center"/>
    </xf>
    <xf borderId="10" fillId="0" fontId="8" numFmtId="0" xfId="0" applyBorder="1" applyFont="1"/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3" fillId="0" fontId="1" numFmtId="9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right" vertical="center"/>
    </xf>
    <xf borderId="14" fillId="0" fontId="1" numFmtId="0" xfId="0" applyAlignment="1" applyBorder="1" applyFont="1">
      <alignment vertical="center"/>
    </xf>
    <xf borderId="11" fillId="0" fontId="8" numFmtId="0" xfId="0" applyBorder="1" applyFont="1"/>
    <xf borderId="15" fillId="0" fontId="8" numFmtId="0" xfId="0" applyBorder="1" applyFont="1"/>
    <xf borderId="14" fillId="0" fontId="1" numFmtId="0" xfId="0" applyAlignment="1" applyBorder="1" applyFont="1">
      <alignment horizontal="right" vertical="center"/>
    </xf>
    <xf borderId="0" fillId="0" fontId="9" numFmtId="0" xfId="0" applyAlignment="1" applyFont="1">
      <alignment readingOrder="0"/>
    </xf>
    <xf borderId="16" fillId="0" fontId="8" numFmtId="0" xfId="0" applyBorder="1" applyFont="1"/>
    <xf borderId="3" fillId="2" fontId="9" numFmtId="0" xfId="0" applyAlignment="1" applyBorder="1" applyFill="1" applyFont="1">
      <alignment horizontal="left" vertical="bottom"/>
    </xf>
    <xf borderId="14" fillId="0" fontId="8" numFmtId="0" xfId="0" applyBorder="1" applyFont="1"/>
    <xf borderId="3" fillId="2" fontId="9" numFmtId="14" xfId="0" applyAlignment="1" applyBorder="1" applyFill="1" applyFont="1" applyNumberFormat="1">
      <alignment horizontal="left" vertical="bottom"/>
    </xf>
    <xf borderId="3" fillId="0" fontId="7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3" fillId="0" fontId="1" numFmtId="165" xfId="0" applyBorder="1" applyFont="1" applyNumberFormat="1"/>
    <xf borderId="11" fillId="0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vertical="center"/>
    </xf>
    <xf borderId="15" fillId="0" fontId="1" numFmtId="9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1" fillId="4" fontId="13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left" readingOrder="0" shrinkToFit="0" vertical="top" wrapText="1"/>
    </xf>
    <xf borderId="1" fillId="4" fontId="1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widosoft.com/wido-ai-chat/ai-chat-service/-/work_items/579" TargetMode="External"/><Relationship Id="rId2" Type="http://schemas.openxmlformats.org/officeDocument/2006/relationships/hyperlink" Target="https://gitlab.widosoft.com/wido-ai-chat/ai-chat-service/-/work_items/583" TargetMode="External"/><Relationship Id="rId3" Type="http://schemas.openxmlformats.org/officeDocument/2006/relationships/hyperlink" Target="https://gitlab.widosoft.com/wido-ai-chat/ai-chat-service/-/work_items/584" TargetMode="External"/><Relationship Id="rId4" Type="http://schemas.openxmlformats.org/officeDocument/2006/relationships/hyperlink" Target="https://gitlab.widosoft.com/wido-ai-chat/ai-chat-service/-/work_items/586" TargetMode="External"/><Relationship Id="rId5" Type="http://schemas.openxmlformats.org/officeDocument/2006/relationships/hyperlink" Target="https://gitlab.widosoft.com/krm/wido-krm-v2/-/work_items/2789" TargetMode="External"/><Relationship Id="rId6" Type="http://schemas.openxmlformats.org/officeDocument/2006/relationships/hyperlink" Target="https://gitlab.widosoft.com/krm/wido-krm-v2/-/work_items/2806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9.5"/>
    <col customWidth="1" min="3" max="7" width="12.75"/>
    <col customWidth="1" min="8" max="8" width="13.13"/>
    <col customWidth="1" min="9" max="10" width="13.75"/>
    <col customWidth="1" min="11" max="11" width="14.75"/>
    <col customWidth="1" min="12" max="12" width="57.13"/>
    <col customWidth="1" min="13" max="26" width="12.75"/>
  </cols>
  <sheetData>
    <row r="1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3" t="s">
        <v>1</v>
      </c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2</v>
      </c>
      <c r="C4" s="7"/>
      <c r="D4" s="7"/>
      <c r="E4" s="7"/>
      <c r="F4" s="7"/>
      <c r="G4" s="7"/>
      <c r="H4" s="7"/>
      <c r="I4" s="7"/>
      <c r="J4" s="7"/>
      <c r="K4" s="1"/>
      <c r="L4" s="8" t="s">
        <v>3</v>
      </c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0" t="s">
        <v>5</v>
      </c>
      <c r="C5" s="11" t="s">
        <v>6</v>
      </c>
      <c r="D5" s="11" t="s">
        <v>7</v>
      </c>
      <c r="E5" s="11" t="s">
        <v>8</v>
      </c>
      <c r="F5" s="10" t="s">
        <v>9</v>
      </c>
      <c r="G5" s="10" t="s">
        <v>10</v>
      </c>
      <c r="H5" s="10" t="s">
        <v>12</v>
      </c>
      <c r="I5" s="10" t="s">
        <v>13</v>
      </c>
      <c r="J5" s="10" t="s">
        <v>14</v>
      </c>
      <c r="K5" s="12"/>
      <c r="L5" s="13" t="s">
        <v>15</v>
      </c>
      <c r="M5" s="14">
        <v>9.0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9" t="s">
        <v>16</v>
      </c>
      <c r="C6" s="20" t="s">
        <v>20</v>
      </c>
      <c r="D6" s="21">
        <v>46121.0</v>
      </c>
      <c r="E6" s="21">
        <v>46121.0</v>
      </c>
      <c r="F6" s="20">
        <v>16.0</v>
      </c>
      <c r="G6" s="20">
        <v>7.0</v>
      </c>
      <c r="H6" s="20">
        <v>0.0</v>
      </c>
      <c r="I6" s="20" t="s">
        <v>22</v>
      </c>
      <c r="J6" s="20" t="s">
        <v>23</v>
      </c>
      <c r="K6" s="1"/>
      <c r="L6" s="13" t="s">
        <v>24</v>
      </c>
      <c r="M6" s="14">
        <v>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25</v>
      </c>
      <c r="C7" s="21">
        <v>46212.0</v>
      </c>
      <c r="D7" s="24"/>
      <c r="E7" s="24"/>
      <c r="F7" s="20">
        <v>8.0</v>
      </c>
      <c r="G7" s="20">
        <v>8.0</v>
      </c>
      <c r="H7" s="20">
        <v>0.0</v>
      </c>
      <c r="I7" s="20" t="s">
        <v>22</v>
      </c>
      <c r="J7" s="20" t="s">
        <v>23</v>
      </c>
      <c r="K7" s="1"/>
      <c r="L7" s="25" t="s">
        <v>30</v>
      </c>
      <c r="M7" s="25">
        <v>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32</v>
      </c>
      <c r="C8" s="21">
        <v>46274.0</v>
      </c>
      <c r="D8" s="21">
        <v>46335.0</v>
      </c>
      <c r="E8" s="21">
        <v>46335.0</v>
      </c>
      <c r="F8" s="20">
        <v>24.0</v>
      </c>
      <c r="G8" s="20">
        <v>22.5</v>
      </c>
      <c r="H8" s="20">
        <v>0.0</v>
      </c>
      <c r="I8" s="20" t="s">
        <v>22</v>
      </c>
      <c r="J8" s="20" t="s">
        <v>23</v>
      </c>
      <c r="K8" s="1"/>
      <c r="L8" s="25" t="s">
        <v>42</v>
      </c>
      <c r="M8" s="25">
        <v>192.0</v>
      </c>
      <c r="N8" s="2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44</v>
      </c>
      <c r="C9" s="20" t="s">
        <v>45</v>
      </c>
      <c r="D9" s="24"/>
      <c r="E9" s="24"/>
      <c r="F9" s="20">
        <v>24.0</v>
      </c>
      <c r="G9" s="20">
        <v>24.0</v>
      </c>
      <c r="H9" s="20">
        <v>0.0</v>
      </c>
      <c r="I9" s="20" t="s">
        <v>22</v>
      </c>
      <c r="J9" s="20" t="s">
        <v>23</v>
      </c>
      <c r="K9" s="1"/>
      <c r="L9" s="25" t="s">
        <v>46</v>
      </c>
      <c r="M9" s="25">
        <f>sum(F5:F1009)</f>
        <v>188.5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K10" s="1"/>
      <c r="L10" s="25" t="s">
        <v>55</v>
      </c>
      <c r="M10" s="25">
        <f>sum(G5:G1009)</f>
        <v>167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K11" s="1"/>
      <c r="L11" s="13" t="s">
        <v>56</v>
      </c>
      <c r="M11" s="25">
        <f>M10-M12</f>
        <v>167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6" t="s">
        <v>58</v>
      </c>
      <c r="K12" s="1"/>
      <c r="L12" s="13" t="s">
        <v>59</v>
      </c>
      <c r="M12" s="25">
        <v>0.0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0" t="s">
        <v>5</v>
      </c>
      <c r="C13" s="11" t="s">
        <v>6</v>
      </c>
      <c r="D13" s="11" t="s">
        <v>7</v>
      </c>
      <c r="E13" s="11" t="s">
        <v>8</v>
      </c>
      <c r="F13" s="10" t="s">
        <v>9</v>
      </c>
      <c r="G13" s="10" t="s">
        <v>10</v>
      </c>
      <c r="H13" s="10" t="s">
        <v>12</v>
      </c>
      <c r="I13" s="10" t="s">
        <v>13</v>
      </c>
      <c r="J13" s="10" t="s">
        <v>14</v>
      </c>
      <c r="K13" s="1"/>
      <c r="L13" s="13" t="s">
        <v>61</v>
      </c>
      <c r="M13" s="25">
        <v>0.0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9" t="s">
        <v>63</v>
      </c>
      <c r="C14" s="21">
        <v>46335.0</v>
      </c>
      <c r="D14" s="21">
        <v>46335.0</v>
      </c>
      <c r="E14" s="21">
        <v>46335.0</v>
      </c>
      <c r="F14" s="20">
        <v>1.5</v>
      </c>
      <c r="G14" s="20">
        <v>1.5</v>
      </c>
      <c r="H14" s="20">
        <v>0.0</v>
      </c>
      <c r="I14" s="20" t="s">
        <v>22</v>
      </c>
      <c r="J14" s="20" t="s">
        <v>23</v>
      </c>
      <c r="K14" s="1"/>
      <c r="L14" s="13" t="s">
        <v>64</v>
      </c>
      <c r="M14" s="25">
        <v>0.0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9" t="s">
        <v>66</v>
      </c>
      <c r="C15" s="20" t="s">
        <v>68</v>
      </c>
      <c r="D15" s="20" t="s">
        <v>69</v>
      </c>
      <c r="E15" s="20" t="s">
        <v>69</v>
      </c>
      <c r="F15" s="20">
        <v>80.0</v>
      </c>
      <c r="G15" s="20">
        <v>69.0</v>
      </c>
      <c r="H15" s="20">
        <v>0.0</v>
      </c>
      <c r="I15" s="20" t="s">
        <v>22</v>
      </c>
      <c r="J15" s="20" t="s">
        <v>23</v>
      </c>
      <c r="K15" s="1"/>
      <c r="L15" s="13" t="s">
        <v>70</v>
      </c>
      <c r="M15" s="25">
        <v>0.0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K16" s="1"/>
      <c r="L16" s="13" t="s">
        <v>72</v>
      </c>
      <c r="M16" s="25">
        <v>0.0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K17" s="1"/>
      <c r="L17" s="25" t="s">
        <v>73</v>
      </c>
      <c r="M17" s="14">
        <v>9.0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74</v>
      </c>
      <c r="K18" s="1"/>
      <c r="L18" s="25" t="s">
        <v>76</v>
      </c>
      <c r="M18" s="25">
        <v>0.0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6" t="s">
        <v>5</v>
      </c>
      <c r="C19" s="48" t="s">
        <v>6</v>
      </c>
      <c r="D19" s="48" t="s">
        <v>7</v>
      </c>
      <c r="E19" s="48" t="s">
        <v>8</v>
      </c>
      <c r="F19" s="46" t="s">
        <v>9</v>
      </c>
      <c r="G19" s="46" t="s">
        <v>10</v>
      </c>
      <c r="H19" s="46" t="s">
        <v>12</v>
      </c>
      <c r="I19" s="46" t="s">
        <v>13</v>
      </c>
      <c r="J19" s="46" t="s">
        <v>14</v>
      </c>
      <c r="K19" s="1"/>
      <c r="L19" s="25"/>
      <c r="M19" s="2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 t="s">
        <v>78</v>
      </c>
      <c r="C20" s="21">
        <v>46031.0</v>
      </c>
      <c r="D20" s="20" t="s">
        <v>69</v>
      </c>
      <c r="E20" s="20" t="s">
        <v>69</v>
      </c>
      <c r="F20" s="49">
        <v>16.0</v>
      </c>
      <c r="G20" s="49">
        <v>16.0</v>
      </c>
      <c r="H20" s="20">
        <v>0.0</v>
      </c>
      <c r="I20" s="20" t="s">
        <v>22</v>
      </c>
      <c r="J20" s="20" t="s">
        <v>23</v>
      </c>
      <c r="K20" s="1"/>
      <c r="L20" s="25" t="s">
        <v>79</v>
      </c>
      <c r="M20" s="14">
        <v>9.0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9" t="s">
        <v>58</v>
      </c>
      <c r="C21" s="21">
        <v>46031.0</v>
      </c>
      <c r="D21" s="20" t="s">
        <v>69</v>
      </c>
      <c r="E21" s="20" t="s">
        <v>69</v>
      </c>
      <c r="F21" s="49">
        <v>16.0</v>
      </c>
      <c r="G21" s="49">
        <v>16.0</v>
      </c>
      <c r="H21" s="20">
        <v>0.0</v>
      </c>
      <c r="I21" s="20" t="s">
        <v>22</v>
      </c>
      <c r="J21" s="20" t="s">
        <v>23</v>
      </c>
      <c r="K21" s="1"/>
      <c r="L21" s="25" t="s">
        <v>81</v>
      </c>
      <c r="M21" s="25">
        <v>0.0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0" t="s">
        <v>82</v>
      </c>
      <c r="C23" s="7"/>
      <c r="D23" s="7"/>
      <c r="E23" s="7"/>
      <c r="F23" s="7"/>
      <c r="G23" s="7"/>
      <c r="H23" s="7"/>
      <c r="I23" s="7"/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6" t="s">
        <v>5</v>
      </c>
      <c r="C24" s="48" t="s">
        <v>6</v>
      </c>
      <c r="D24" s="48" t="s">
        <v>7</v>
      </c>
      <c r="E24" s="48" t="s">
        <v>8</v>
      </c>
      <c r="F24" s="46" t="s">
        <v>9</v>
      </c>
      <c r="G24" s="46" t="s">
        <v>10</v>
      </c>
      <c r="H24" s="46" t="s">
        <v>12</v>
      </c>
      <c r="I24" s="46" t="s">
        <v>13</v>
      </c>
      <c r="J24" s="46" t="s">
        <v>14</v>
      </c>
      <c r="K24" s="1"/>
      <c r="L24" s="8" t="s">
        <v>83</v>
      </c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9" t="s">
        <v>84</v>
      </c>
      <c r="C25" s="21">
        <v>46031.0</v>
      </c>
      <c r="D25" s="20" t="s">
        <v>69</v>
      </c>
      <c r="E25" s="20" t="s">
        <v>69</v>
      </c>
      <c r="F25" s="49">
        <v>3.0</v>
      </c>
      <c r="G25" s="49">
        <v>3.0</v>
      </c>
      <c r="H25" s="20">
        <v>0.0</v>
      </c>
      <c r="I25" s="20" t="s">
        <v>22</v>
      </c>
      <c r="J25" s="20" t="s">
        <v>23</v>
      </c>
      <c r="K25" s="1"/>
      <c r="L25" s="13" t="s">
        <v>85</v>
      </c>
      <c r="M25" s="51">
        <f>M13/M5*100</f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3" t="s">
        <v>86</v>
      </c>
      <c r="M26" s="51">
        <f>M14/M5*100</f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3" t="s">
        <v>60</v>
      </c>
      <c r="M27" s="51">
        <f>M15/M5*100</f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3" t="s">
        <v>87</v>
      </c>
      <c r="M28" s="51">
        <f>M16/M5*100</f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5" t="s">
        <v>88</v>
      </c>
      <c r="M29" s="51">
        <f>M17/M5*100</f>
        <v>100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5"/>
      <c r="M30" s="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5" t="s">
        <v>89</v>
      </c>
      <c r="M31" s="51">
        <f>M18/M5*100</f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5" t="s">
        <v>90</v>
      </c>
      <c r="M32" s="51">
        <f>M20/M5*100</f>
        <v>100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L33" s="25" t="s">
        <v>91</v>
      </c>
      <c r="M33" s="51">
        <f>M21/M5*100</f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L34" s="25" t="s">
        <v>92</v>
      </c>
      <c r="M34" s="51">
        <f>M7/M5*100</f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L35" s="25"/>
      <c r="M35" s="5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L36" s="25" t="s">
        <v>93</v>
      </c>
      <c r="M36" s="51">
        <f>M10/M8*100</f>
        <v>86.97916667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L37" s="25" t="s">
        <v>94</v>
      </c>
      <c r="M37" s="51">
        <f t="shared" ref="M37:M38" si="1">M10/M9*100</f>
        <v>88.59416446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L38" s="25" t="s">
        <v>95</v>
      </c>
      <c r="M38" s="51">
        <f t="shared" si="1"/>
        <v>100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L39" s="25" t="s">
        <v>96</v>
      </c>
      <c r="M39" s="51">
        <f>M12/M10*100</f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L4:M4"/>
    <mergeCell ref="L24:M24"/>
  </mergeCells>
  <hyperlinks>
    <hyperlink r:id="rId1" ref="B6"/>
    <hyperlink r:id="rId2" ref="B7"/>
    <hyperlink r:id="rId3" ref="B8"/>
    <hyperlink r:id="rId4" ref="B9"/>
    <hyperlink r:id="rId5" ref="B14"/>
    <hyperlink r:id="rId6" ref="B15"/>
  </hyperlinks>
  <printOptions/>
  <pageMargins bottom="0.0" footer="0.0" header="0.0" left="0.0" right="0.0" top="0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8.75"/>
    <col customWidth="1" min="3" max="3" width="19.88"/>
    <col customWidth="1" min="4" max="4" width="22.13"/>
    <col customWidth="1" min="5" max="5" width="10.13"/>
    <col customWidth="1" min="6" max="7" width="12.75"/>
    <col customWidth="1" min="8" max="8" width="5.13"/>
    <col customWidth="1" min="9" max="9" width="23.75"/>
    <col customWidth="1" min="10" max="27" width="12.75"/>
  </cols>
  <sheetData>
    <row r="1">
      <c r="A1" s="4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5"/>
      <c r="B5" s="15"/>
      <c r="C5" s="15"/>
      <c r="D5" s="15"/>
      <c r="E5" s="15"/>
      <c r="F5" s="15"/>
      <c r="G5" s="1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6" t="s">
        <v>17</v>
      </c>
      <c r="B6" s="9"/>
      <c r="C6" s="17" t="s">
        <v>18</v>
      </c>
      <c r="D6" s="16" t="s">
        <v>19</v>
      </c>
      <c r="E6" s="18"/>
      <c r="F6" s="18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2" t="s">
        <v>21</v>
      </c>
      <c r="B7" s="9"/>
      <c r="C7" s="23" t="s">
        <v>26</v>
      </c>
      <c r="D7" s="22" t="s">
        <v>27</v>
      </c>
      <c r="E7" s="18"/>
      <c r="F7" s="18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2" t="s">
        <v>28</v>
      </c>
      <c r="B8" s="9"/>
      <c r="C8" s="23" t="s">
        <v>29</v>
      </c>
      <c r="D8" s="22" t="s">
        <v>31</v>
      </c>
      <c r="E8" s="18"/>
      <c r="F8" s="1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2" t="s">
        <v>33</v>
      </c>
      <c r="B9" s="9"/>
      <c r="C9" s="26" t="s">
        <v>34</v>
      </c>
      <c r="D9" s="22" t="s">
        <v>35</v>
      </c>
      <c r="E9" s="18"/>
      <c r="F9" s="18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2" t="s">
        <v>36</v>
      </c>
      <c r="B10" s="9"/>
      <c r="C10" s="27" t="s">
        <v>37</v>
      </c>
      <c r="D10" s="22" t="s">
        <v>38</v>
      </c>
      <c r="E10" s="18"/>
      <c r="F10" s="18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2" t="s">
        <v>39</v>
      </c>
      <c r="B11" s="9"/>
      <c r="C11" s="27" t="s">
        <v>40</v>
      </c>
      <c r="D11" s="22" t="s">
        <v>41</v>
      </c>
      <c r="E11" s="18"/>
      <c r="F11" s="18"/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9" t="s">
        <v>47</v>
      </c>
      <c r="B14" s="30" t="s">
        <v>48</v>
      </c>
      <c r="C14" s="30" t="s">
        <v>49</v>
      </c>
      <c r="D14" s="30" t="s">
        <v>50</v>
      </c>
      <c r="E14" s="30" t="s">
        <v>51</v>
      </c>
      <c r="F14" s="30" t="s">
        <v>52</v>
      </c>
      <c r="G14" s="30" t="s">
        <v>53</v>
      </c>
      <c r="H14" s="31" t="s">
        <v>54</v>
      </c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3">
        <v>1.0</v>
      </c>
      <c r="B15" s="34" t="s">
        <v>57</v>
      </c>
      <c r="C15" s="35" t="s">
        <v>60</v>
      </c>
      <c r="D15" s="36" t="s">
        <v>62</v>
      </c>
      <c r="E15" s="37">
        <v>0.25</v>
      </c>
      <c r="F15" s="38">
        <v>0.0</v>
      </c>
      <c r="G15" s="37">
        <v>5.0</v>
      </c>
      <c r="H15" s="39">
        <v>1.0</v>
      </c>
      <c r="I15" s="40" t="s">
        <v>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1"/>
      <c r="B16" s="41"/>
      <c r="C16" s="42"/>
      <c r="D16" s="42"/>
      <c r="E16" s="42"/>
      <c r="F16" s="42"/>
      <c r="G16" s="42"/>
      <c r="H16" s="43">
        <v>2.0</v>
      </c>
      <c r="I16" s="40" t="s">
        <v>67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1"/>
      <c r="B17" s="41"/>
      <c r="C17" s="42"/>
      <c r="D17" s="42"/>
      <c r="E17" s="42"/>
      <c r="F17" s="42"/>
      <c r="G17" s="42"/>
      <c r="H17" s="43">
        <v>3.0</v>
      </c>
      <c r="I17" s="40" t="s">
        <v>71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1"/>
      <c r="B18" s="41"/>
      <c r="C18" s="42"/>
      <c r="D18" s="42"/>
      <c r="E18" s="42"/>
      <c r="F18" s="42"/>
      <c r="G18" s="42"/>
      <c r="H18" s="43">
        <v>4.0</v>
      </c>
      <c r="I18" s="40" t="s">
        <v>75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5"/>
      <c r="B19" s="41"/>
      <c r="C19" s="47"/>
      <c r="D19" s="47"/>
      <c r="E19" s="47"/>
      <c r="F19" s="47"/>
      <c r="G19" s="47"/>
      <c r="H19" s="43">
        <v>5.0</v>
      </c>
      <c r="I19" s="40" t="s">
        <v>77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3">
        <v>2.0</v>
      </c>
      <c r="B20" s="41"/>
      <c r="C20" s="35" t="s">
        <v>80</v>
      </c>
      <c r="D20" s="36" t="s">
        <v>62</v>
      </c>
      <c r="E20" s="37">
        <v>0.25</v>
      </c>
      <c r="F20" s="38">
        <v>0.0</v>
      </c>
      <c r="G20" s="37">
        <v>5.0</v>
      </c>
      <c r="H20" s="39">
        <v>1.0</v>
      </c>
      <c r="I20" s="40" t="s">
        <v>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41"/>
      <c r="B21" s="41"/>
      <c r="C21" s="42"/>
      <c r="D21" s="42"/>
      <c r="E21" s="42"/>
      <c r="F21" s="42"/>
      <c r="G21" s="42"/>
      <c r="H21" s="43">
        <v>2.0</v>
      </c>
      <c r="I21" s="40" t="s">
        <v>67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1"/>
      <c r="B22" s="41"/>
      <c r="C22" s="42"/>
      <c r="D22" s="42"/>
      <c r="E22" s="42"/>
      <c r="F22" s="42"/>
      <c r="G22" s="42"/>
      <c r="H22" s="43">
        <v>3.0</v>
      </c>
      <c r="I22" s="40" t="s">
        <v>71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1"/>
      <c r="B23" s="41"/>
      <c r="C23" s="42"/>
      <c r="D23" s="42"/>
      <c r="E23" s="42"/>
      <c r="F23" s="42"/>
      <c r="G23" s="42"/>
      <c r="H23" s="43">
        <v>4.0</v>
      </c>
      <c r="I23" s="40" t="s">
        <v>75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5"/>
      <c r="B24" s="41"/>
      <c r="C24" s="47"/>
      <c r="D24" s="47"/>
      <c r="E24" s="47"/>
      <c r="F24" s="47"/>
      <c r="G24" s="47"/>
      <c r="H24" s="43">
        <v>5.0</v>
      </c>
      <c r="I24" s="40" t="s">
        <v>77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3">
        <v>3.0</v>
      </c>
      <c r="B25" s="41"/>
      <c r="C25" s="35" t="s">
        <v>86</v>
      </c>
      <c r="D25" s="36" t="s">
        <v>62</v>
      </c>
      <c r="E25" s="37">
        <v>0.25</v>
      </c>
      <c r="F25" s="38">
        <v>0.0</v>
      </c>
      <c r="G25" s="37">
        <v>5.0</v>
      </c>
      <c r="H25" s="39">
        <v>1.0</v>
      </c>
      <c r="I25" s="40" t="s">
        <v>65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1"/>
      <c r="B26" s="41"/>
      <c r="C26" s="42"/>
      <c r="D26" s="42"/>
      <c r="E26" s="42"/>
      <c r="F26" s="42"/>
      <c r="G26" s="42"/>
      <c r="H26" s="43">
        <v>2.0</v>
      </c>
      <c r="I26" s="40" t="s">
        <v>67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1"/>
      <c r="B27" s="41"/>
      <c r="C27" s="42"/>
      <c r="D27" s="42"/>
      <c r="E27" s="42"/>
      <c r="F27" s="42"/>
      <c r="G27" s="42"/>
      <c r="H27" s="43">
        <v>3.0</v>
      </c>
      <c r="I27" s="40" t="s">
        <v>71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1"/>
      <c r="B28" s="41"/>
      <c r="C28" s="42"/>
      <c r="D28" s="42"/>
      <c r="E28" s="42"/>
      <c r="F28" s="42"/>
      <c r="G28" s="42"/>
      <c r="H28" s="43">
        <v>4.0</v>
      </c>
      <c r="I28" s="40" t="s">
        <v>75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5"/>
      <c r="B29" s="41"/>
      <c r="C29" s="47"/>
      <c r="D29" s="47"/>
      <c r="E29" s="47"/>
      <c r="F29" s="47"/>
      <c r="G29" s="47"/>
      <c r="H29" s="43">
        <v>5.0</v>
      </c>
      <c r="I29" s="40" t="s">
        <v>77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3">
        <v>4.0</v>
      </c>
      <c r="B30" s="41"/>
      <c r="C30" s="35" t="s">
        <v>87</v>
      </c>
      <c r="D30" s="36" t="s">
        <v>62</v>
      </c>
      <c r="E30" s="37">
        <v>0.25</v>
      </c>
      <c r="F30" s="38">
        <v>0.0</v>
      </c>
      <c r="G30" s="37">
        <v>5.0</v>
      </c>
      <c r="H30" s="39">
        <v>1.0</v>
      </c>
      <c r="I30" s="40" t="s">
        <v>65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41"/>
      <c r="B31" s="41"/>
      <c r="C31" s="42"/>
      <c r="D31" s="42"/>
      <c r="E31" s="42"/>
      <c r="F31" s="42"/>
      <c r="G31" s="42"/>
      <c r="H31" s="43">
        <v>2.0</v>
      </c>
      <c r="I31" s="40" t="s">
        <v>67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41"/>
      <c r="B32" s="41"/>
      <c r="C32" s="42"/>
      <c r="D32" s="42"/>
      <c r="E32" s="42"/>
      <c r="F32" s="42"/>
      <c r="G32" s="42"/>
      <c r="H32" s="43">
        <v>3.0</v>
      </c>
      <c r="I32" s="40" t="s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41"/>
      <c r="B33" s="41"/>
      <c r="C33" s="42"/>
      <c r="D33" s="42"/>
      <c r="E33" s="42"/>
      <c r="F33" s="42"/>
      <c r="G33" s="42"/>
      <c r="H33" s="43">
        <v>4.0</v>
      </c>
      <c r="I33" s="40" t="s">
        <v>75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45"/>
      <c r="B34" s="45"/>
      <c r="C34" s="47"/>
      <c r="D34" s="47"/>
      <c r="E34" s="47"/>
      <c r="F34" s="47"/>
      <c r="G34" s="47"/>
      <c r="H34" s="43">
        <v>5.0</v>
      </c>
      <c r="I34" s="40" t="s">
        <v>77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3">
        <v>5.0</v>
      </c>
      <c r="B35" s="52" t="s">
        <v>97</v>
      </c>
      <c r="C35" s="35" t="s">
        <v>93</v>
      </c>
      <c r="D35" s="36" t="s">
        <v>62</v>
      </c>
      <c r="E35" s="53">
        <v>3.0</v>
      </c>
      <c r="F35" s="54">
        <v>87.0</v>
      </c>
      <c r="G35" s="54">
        <v>2.0</v>
      </c>
      <c r="H35" s="39">
        <v>1.0</v>
      </c>
      <c r="I35" s="40" t="s">
        <v>98</v>
      </c>
      <c r="J35" s="1"/>
      <c r="K35" s="1"/>
      <c r="L35" s="5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41"/>
      <c r="B36" s="41"/>
      <c r="C36" s="42"/>
      <c r="D36" s="42"/>
      <c r="E36" s="42"/>
      <c r="F36" s="42"/>
      <c r="G36" s="42"/>
      <c r="H36" s="43">
        <v>2.0</v>
      </c>
      <c r="I36" s="40" t="s">
        <v>99</v>
      </c>
      <c r="J36" s="1"/>
      <c r="K36" s="1"/>
      <c r="L36" s="5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41"/>
      <c r="B37" s="41"/>
      <c r="C37" s="42"/>
      <c r="D37" s="42"/>
      <c r="E37" s="42"/>
      <c r="F37" s="42"/>
      <c r="G37" s="42"/>
      <c r="H37" s="43">
        <v>3.0</v>
      </c>
      <c r="I37" s="40" t="s">
        <v>100</v>
      </c>
      <c r="J37" s="1"/>
      <c r="K37" s="1"/>
      <c r="L37" s="5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41"/>
      <c r="B38" s="41"/>
      <c r="C38" s="42"/>
      <c r="D38" s="42"/>
      <c r="E38" s="42"/>
      <c r="F38" s="42"/>
      <c r="G38" s="42"/>
      <c r="H38" s="43">
        <v>4.0</v>
      </c>
      <c r="I38" s="40" t="s">
        <v>101</v>
      </c>
      <c r="J38" s="1"/>
      <c r="K38" s="1"/>
      <c r="L38" s="5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45"/>
      <c r="B39" s="45"/>
      <c r="C39" s="47"/>
      <c r="D39" s="47"/>
      <c r="E39" s="47"/>
      <c r="F39" s="47"/>
      <c r="G39" s="47"/>
      <c r="H39" s="43">
        <v>5.0</v>
      </c>
      <c r="I39" s="40" t="s">
        <v>102</v>
      </c>
      <c r="J39" s="1"/>
      <c r="K39" s="1"/>
      <c r="L39" s="5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3">
        <v>6.0</v>
      </c>
      <c r="B40" s="52" t="s">
        <v>103</v>
      </c>
      <c r="C40" s="56" t="s">
        <v>89</v>
      </c>
      <c r="D40" s="57" t="s">
        <v>62</v>
      </c>
      <c r="E40" s="53">
        <v>3.0</v>
      </c>
      <c r="F40" s="58">
        <v>0.0</v>
      </c>
      <c r="G40" s="53">
        <v>5.0</v>
      </c>
      <c r="H40" s="43">
        <v>1.0</v>
      </c>
      <c r="I40" s="40" t="s">
        <v>65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41"/>
      <c r="B41" s="41"/>
      <c r="C41" s="42"/>
      <c r="D41" s="42"/>
      <c r="E41" s="42"/>
      <c r="F41" s="42"/>
      <c r="G41" s="42"/>
      <c r="H41" s="43">
        <v>2.0</v>
      </c>
      <c r="I41" s="40" t="s">
        <v>67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41"/>
      <c r="B42" s="41"/>
      <c r="C42" s="42"/>
      <c r="D42" s="42"/>
      <c r="E42" s="42"/>
      <c r="F42" s="42"/>
      <c r="G42" s="42"/>
      <c r="H42" s="43">
        <v>3.0</v>
      </c>
      <c r="I42" s="40" t="s">
        <v>71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41"/>
      <c r="B43" s="41"/>
      <c r="C43" s="42"/>
      <c r="D43" s="42"/>
      <c r="E43" s="42"/>
      <c r="F43" s="42"/>
      <c r="G43" s="42"/>
      <c r="H43" s="43">
        <v>4.0</v>
      </c>
      <c r="I43" s="40" t="s">
        <v>75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45"/>
      <c r="B44" s="41"/>
      <c r="C44" s="47"/>
      <c r="D44" s="47"/>
      <c r="E44" s="47"/>
      <c r="F44" s="47"/>
      <c r="G44" s="47"/>
      <c r="H44" s="43">
        <v>5.0</v>
      </c>
      <c r="I44" s="40" t="s">
        <v>77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3">
        <v>7.0</v>
      </c>
      <c r="B45" s="41"/>
      <c r="C45" s="56" t="s">
        <v>91</v>
      </c>
      <c r="D45" s="57" t="s">
        <v>62</v>
      </c>
      <c r="E45" s="53">
        <v>3.0</v>
      </c>
      <c r="F45" s="58">
        <v>0.0</v>
      </c>
      <c r="G45" s="53">
        <v>5.0</v>
      </c>
      <c r="H45" s="43">
        <v>1.0</v>
      </c>
      <c r="I45" s="40" t="s">
        <v>65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41"/>
      <c r="B46" s="41"/>
      <c r="C46" s="42"/>
      <c r="D46" s="42"/>
      <c r="E46" s="42"/>
      <c r="F46" s="42"/>
      <c r="G46" s="42"/>
      <c r="H46" s="43">
        <v>2.0</v>
      </c>
      <c r="I46" s="40" t="s">
        <v>67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41"/>
      <c r="B47" s="41"/>
      <c r="C47" s="42"/>
      <c r="D47" s="42"/>
      <c r="E47" s="42"/>
      <c r="F47" s="42"/>
      <c r="G47" s="42"/>
      <c r="H47" s="43">
        <v>3.0</v>
      </c>
      <c r="I47" s="40" t="s">
        <v>71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41"/>
      <c r="B48" s="41"/>
      <c r="C48" s="42"/>
      <c r="D48" s="42"/>
      <c r="E48" s="42"/>
      <c r="F48" s="42"/>
      <c r="G48" s="42"/>
      <c r="H48" s="43">
        <v>4.0</v>
      </c>
      <c r="I48" s="40" t="s">
        <v>75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1.0" customHeight="1">
      <c r="A49" s="45"/>
      <c r="B49" s="45"/>
      <c r="C49" s="47"/>
      <c r="D49" s="47"/>
      <c r="E49" s="47"/>
      <c r="F49" s="47"/>
      <c r="G49" s="47"/>
      <c r="H49" s="43">
        <v>5.0</v>
      </c>
      <c r="I49" s="40" t="s">
        <v>77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59" t="s">
        <v>104</v>
      </c>
      <c r="B50" s="18"/>
      <c r="C50" s="18"/>
      <c r="D50" s="18"/>
      <c r="E50" s="18"/>
      <c r="F50" s="9"/>
      <c r="G50" s="60">
        <f>(E15*G15+E20*G20+E25*G25+E30*G30+E35*G35+E40*G40+E45*G45)/10</f>
        <v>4.1</v>
      </c>
      <c r="H50" s="13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61" t="s">
        <v>105</v>
      </c>
      <c r="B52" s="18"/>
      <c r="C52" s="18"/>
      <c r="D52" s="18"/>
      <c r="E52" s="18"/>
      <c r="F52" s="18"/>
      <c r="G52" s="18"/>
      <c r="H52" s="18"/>
      <c r="I52" s="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48.0" customHeight="1">
      <c r="A53" s="62" t="s">
        <v>106</v>
      </c>
      <c r="B53" s="18"/>
      <c r="C53" s="18"/>
      <c r="D53" s="18"/>
      <c r="E53" s="18"/>
      <c r="F53" s="18"/>
      <c r="G53" s="18"/>
      <c r="H53" s="18"/>
      <c r="I53" s="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63" t="s">
        <v>107</v>
      </c>
      <c r="B54" s="18"/>
      <c r="C54" s="18"/>
      <c r="D54" s="18"/>
      <c r="E54" s="18"/>
      <c r="F54" s="18"/>
      <c r="G54" s="18"/>
      <c r="H54" s="18"/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44.25" customHeight="1">
      <c r="A55" s="64" t="s">
        <v>108</v>
      </c>
      <c r="B55" s="18"/>
      <c r="C55" s="18"/>
      <c r="D55" s="18"/>
      <c r="E55" s="18"/>
      <c r="F55" s="18"/>
      <c r="G55" s="18"/>
      <c r="H55" s="18"/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63" t="s">
        <v>109</v>
      </c>
      <c r="B56" s="18"/>
      <c r="C56" s="18"/>
      <c r="D56" s="18"/>
      <c r="E56" s="18"/>
      <c r="F56" s="18"/>
      <c r="G56" s="18"/>
      <c r="H56" s="18"/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54.75" customHeight="1">
      <c r="A57" s="65" t="s">
        <v>110</v>
      </c>
      <c r="B57" s="18"/>
      <c r="C57" s="18"/>
      <c r="D57" s="18"/>
      <c r="E57" s="18"/>
      <c r="F57" s="18"/>
      <c r="G57" s="18"/>
      <c r="H57" s="18"/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</sheetData>
  <mergeCells count="66">
    <mergeCell ref="E20:E24"/>
    <mergeCell ref="F20:F24"/>
    <mergeCell ref="A10:B10"/>
    <mergeCell ref="D10:G10"/>
    <mergeCell ref="A11:B11"/>
    <mergeCell ref="D11:G11"/>
    <mergeCell ref="H14:I14"/>
    <mergeCell ref="G15:G19"/>
    <mergeCell ref="G20:G24"/>
    <mergeCell ref="B15:B34"/>
    <mergeCell ref="A25:A29"/>
    <mergeCell ref="A30:A34"/>
    <mergeCell ref="C30:C34"/>
    <mergeCell ref="D30:D34"/>
    <mergeCell ref="E30:E34"/>
    <mergeCell ref="F30:F34"/>
    <mergeCell ref="G30:G34"/>
    <mergeCell ref="C40:C44"/>
    <mergeCell ref="D40:D44"/>
    <mergeCell ref="F40:F44"/>
    <mergeCell ref="G40:G44"/>
    <mergeCell ref="A15:A19"/>
    <mergeCell ref="A20:A24"/>
    <mergeCell ref="A35:A39"/>
    <mergeCell ref="C35:C39"/>
    <mergeCell ref="D35:D39"/>
    <mergeCell ref="E35:E39"/>
    <mergeCell ref="A40:A44"/>
    <mergeCell ref="E40:E44"/>
    <mergeCell ref="D8:G8"/>
    <mergeCell ref="D9:G9"/>
    <mergeCell ref="A1:J1"/>
    <mergeCell ref="A6:B6"/>
    <mergeCell ref="D6:G6"/>
    <mergeCell ref="A7:B7"/>
    <mergeCell ref="D7:G7"/>
    <mergeCell ref="A8:B8"/>
    <mergeCell ref="A9:B9"/>
    <mergeCell ref="C15:C19"/>
    <mergeCell ref="D15:D19"/>
    <mergeCell ref="E15:E19"/>
    <mergeCell ref="F15:F19"/>
    <mergeCell ref="C20:C24"/>
    <mergeCell ref="D20:D24"/>
    <mergeCell ref="C25:C29"/>
    <mergeCell ref="D25:D29"/>
    <mergeCell ref="E25:E29"/>
    <mergeCell ref="F25:F29"/>
    <mergeCell ref="G25:G29"/>
    <mergeCell ref="F35:F39"/>
    <mergeCell ref="G35:G39"/>
    <mergeCell ref="F45:F49"/>
    <mergeCell ref="A50:F50"/>
    <mergeCell ref="A52:I52"/>
    <mergeCell ref="A53:I53"/>
    <mergeCell ref="A54:I54"/>
    <mergeCell ref="A55:I55"/>
    <mergeCell ref="A56:I56"/>
    <mergeCell ref="A57:I57"/>
    <mergeCell ref="B35:B39"/>
    <mergeCell ref="B40:B49"/>
    <mergeCell ref="A45:A49"/>
    <mergeCell ref="C45:C49"/>
    <mergeCell ref="D45:D49"/>
    <mergeCell ref="E45:E49"/>
    <mergeCell ref="G45:G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2025-05-10T01:27:03Z</dcterms:created>
</cp:coreProperties>
</file>