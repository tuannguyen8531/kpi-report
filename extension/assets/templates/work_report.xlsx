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áo cáo công việ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5">
    <font>
      <name val="Arial"/>
      <color rgb="FF000000"/>
      <sz val="10"/>
      <scheme val="minor"/>
    </font>
    <font>
      <name val="Times New Roman"/>
      <color theme="1"/>
      <sz val="10"/>
    </font>
    <font>
      <name val="Times New Roman"/>
      <b val="1"/>
      <color theme="1"/>
      <sz val="10"/>
    </font>
    <font>
      <name val="Times New Roman"/>
      <b val="1"/>
      <color theme="1"/>
    </font>
    <font>
      <name val="Times New Roman"/>
      <b val="1"/>
      <color theme="1"/>
      <sz val="16"/>
    </font>
    <font>
      <name val="Arial"/>
      <color theme="1"/>
    </font>
    <font>
      <name val="Arial"/>
      <color rgb="FF000000"/>
      <scheme val="minor"/>
    </font>
    <font>
      <name val="Arial"/>
      <color theme="1"/>
      <sz val="10"/>
      <scheme val="minor"/>
    </font>
    <font/>
    <font>
      <name val="Arial"/>
      <color theme="1"/>
      <scheme val="minor"/>
    </font>
    <font>
      <color rgb="FF0000FF"/>
      <u val="single"/>
    </font>
    <font>
      <name val="Times New Roman"/>
      <color rgb="FF0000FF"/>
      <sz val="10"/>
    </font>
    <font>
      <name val="Times New Roman"/>
      <color rgb="FFFF0000"/>
      <sz val="10"/>
    </font>
    <font>
      <name val="Times New Roman"/>
      <b val="1"/>
      <color rgb="FF000000"/>
      <sz val="10"/>
    </font>
    <font>
      <name val="Times New Roman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left" vertical="bottom"/>
    </xf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8" fillId="0" borderId="2" pivotButton="0" quotePrefix="0" xfId="0"/>
    <xf numFmtId="0" fontId="9" fillId="2" borderId="3" applyAlignment="1" pivotButton="0" quotePrefix="0" xfId="0">
      <alignment vertical="bottom"/>
    </xf>
    <xf numFmtId="14" fontId="9" fillId="2" borderId="3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1" fillId="3" borderId="3" pivotButton="0" quotePrefix="0" xfId="0"/>
    <xf numFmtId="0" fontId="1" fillId="0" borderId="3" pivotButton="0" quotePrefix="0" xfId="0"/>
    <xf numFmtId="0" fontId="2" fillId="3" borderId="4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2" fillId="4" borderId="3" applyAlignment="1" pivotButton="0" quotePrefix="0" xfId="0">
      <alignment wrapText="1"/>
    </xf>
    <xf numFmtId="0" fontId="8" fillId="0" borderId="5" pivotButton="0" quotePrefix="0" xfId="0"/>
    <xf numFmtId="0" fontId="10" fillId="0" borderId="3" applyAlignment="1" pivotButton="0" quotePrefix="0" xfId="0">
      <alignment horizontal="left"/>
    </xf>
    <xf numFmtId="0" fontId="9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left"/>
    </xf>
    <xf numFmtId="0" fontId="1" fillId="0" borderId="1" applyAlignment="1" pivotButton="0" quotePrefix="0" xfId="0">
      <alignment wrapText="1"/>
    </xf>
    <xf numFmtId="0" fontId="11" fillId="0" borderId="3" applyAlignment="1" pivotButton="0" quotePrefix="0" xfId="0">
      <alignment wrapText="1"/>
    </xf>
    <xf numFmtId="0" fontId="9" fillId="0" borderId="3" applyAlignment="1" pivotButton="0" quotePrefix="0" xfId="0">
      <alignment horizontal="left"/>
    </xf>
    <xf numFmtId="0" fontId="1" fillId="0" borderId="3" pivotButton="0" quotePrefix="0" xfId="0"/>
    <xf numFmtId="0" fontId="1" fillId="0" borderId="3" applyAlignment="1" pivotButton="0" quotePrefix="0" xfId="0">
      <alignment wrapText="1"/>
    </xf>
    <xf numFmtId="0" fontId="12" fillId="0" borderId="3" applyAlignment="1" pivotButton="0" quotePrefix="0" xfId="0">
      <alignment wrapText="1"/>
    </xf>
    <xf numFmtId="0" fontId="1" fillId="0" borderId="6" pivotButton="0" quotePrefix="0" xfId="0"/>
    <xf numFmtId="0" fontId="2" fillId="4" borderId="7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2" fillId="4" borderId="9" applyAlignment="1" pivotButton="0" quotePrefix="0" xfId="0">
      <alignment horizontal="center"/>
    </xf>
    <xf numFmtId="0" fontId="8" fillId="0" borderId="10" pivotButton="0" quotePrefix="0" xfId="0"/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 wrapText="1"/>
    </xf>
    <xf numFmtId="0" fontId="1" fillId="0" borderId="13" applyAlignment="1" pivotButton="0" quotePrefix="0" xfId="0">
      <alignment vertical="center" wrapText="1"/>
    </xf>
    <xf numFmtId="0" fontId="1" fillId="0" borderId="13" applyAlignment="1" pivotButton="0" quotePrefix="0" xfId="0">
      <alignment vertical="center"/>
    </xf>
    <xf numFmtId="0" fontId="1" fillId="0" borderId="13" applyAlignment="1" pivotButton="0" quotePrefix="0" xfId="0">
      <alignment horizontal="center" vertical="center"/>
    </xf>
    <xf numFmtId="9" fontId="1" fillId="0" borderId="13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1" fillId="0" borderId="14" applyAlignment="1" pivotButton="0" quotePrefix="0" xfId="0">
      <alignment vertical="center"/>
    </xf>
    <xf numFmtId="0" fontId="8" fillId="0" borderId="11" pivotButton="0" quotePrefix="0" xfId="0"/>
    <xf numFmtId="0" fontId="8" fillId="0" borderId="15" pivotButton="0" quotePrefix="0" xfId="0"/>
    <xf numFmtId="0" fontId="1" fillId="0" borderId="14" applyAlignment="1" pivotButton="0" quotePrefix="0" xfId="0">
      <alignment horizontal="right" vertical="center"/>
    </xf>
    <xf numFmtId="0" fontId="9" fillId="0" borderId="0" pivotButton="0" quotePrefix="0" xfId="0"/>
    <xf numFmtId="0" fontId="8" fillId="0" borderId="16" pivotButton="0" quotePrefix="0" xfId="0"/>
    <xf numFmtId="0" fontId="9" fillId="2" borderId="3" applyAlignment="1" pivotButton="0" quotePrefix="0" xfId="0">
      <alignment horizontal="left" vertical="bottom"/>
    </xf>
    <xf numFmtId="0" fontId="8" fillId="0" borderId="14" pivotButton="0" quotePrefix="0" xfId="0"/>
    <xf numFmtId="14" fontId="9" fillId="2" borderId="3" applyAlignment="1" pivotButton="0" quotePrefix="0" xfId="0">
      <alignment horizontal="left" vertical="bottom"/>
    </xf>
    <xf numFmtId="0" fontId="7" fillId="0" borderId="3" applyAlignment="1" pivotButton="0" quotePrefix="0" xfId="0">
      <alignment horizontal="left"/>
    </xf>
    <xf numFmtId="0" fontId="7" fillId="0" borderId="0" pivotButton="0" quotePrefix="0" xfId="0"/>
    <xf numFmtId="165" fontId="1" fillId="0" borderId="3" pivotButton="0" quotePrefix="0" xfId="0"/>
    <xf numFmtId="0" fontId="1" fillId="0" borderId="11" applyAlignment="1" pivotButton="0" quotePrefix="0" xfId="0">
      <alignment vertical="center"/>
    </xf>
    <xf numFmtId="0" fontId="1" fillId="0" borderId="15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15" applyAlignment="1" pivotButton="0" quotePrefix="0" xfId="0">
      <alignment vertical="center" wrapText="1"/>
    </xf>
    <xf numFmtId="0" fontId="1" fillId="0" borderId="15" applyAlignment="1" pivotButton="0" quotePrefix="0" xfId="0">
      <alignment vertical="center"/>
    </xf>
    <xf numFmtId="9" fontId="1" fillId="0" borderId="15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4" fillId="3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0" fillId="0" borderId="0" pivotButton="0" quotePrefix="0" xfId="0"/>
    <xf numFmtId="0" fontId="1" fillId="2" borderId="3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9"/>
  <sheetViews>
    <sheetView workbookViewId="0">
      <selection activeCell="A1" sqref="A1"/>
    </sheetView>
  </sheetViews>
  <sheetFormatPr baseColWidth="8" defaultColWidth="12.63" defaultRowHeight="15" customHeight="1"/>
  <cols>
    <col width="12.75" customWidth="1" style="66" min="1" max="1"/>
    <col width="69.5" customWidth="1" style="66" min="2" max="2"/>
    <col width="12.75" customWidth="1" style="66" min="3" max="7"/>
    <col width="13.13" customWidth="1" style="66" min="8" max="8"/>
    <col width="13.75" customWidth="1" style="66" min="9" max="10"/>
    <col width="14.75" customWidth="1" style="66" min="11" max="11"/>
    <col width="57.13" customWidth="1" style="66" min="12" max="12"/>
    <col width="12.75" customWidth="1" style="66" min="13" max="26"/>
  </cols>
  <sheetData>
    <row r="1" ht="15.75" customHeight="1" s="66">
      <c r="A1" s="1" t="n"/>
      <c r="B1" s="2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6">
      <c r="A2" s="1" t="n"/>
      <c r="B2" s="3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6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6">
      <c r="A4" s="1" t="n"/>
      <c r="B4" s="6" t="n"/>
      <c r="C4" s="50" t="n"/>
      <c r="D4" s="50" t="n"/>
      <c r="E4" s="50" t="n"/>
      <c r="F4" s="50" t="n"/>
      <c r="G4" s="50" t="n"/>
      <c r="H4" s="50" t="n"/>
      <c r="I4" s="50" t="n"/>
      <c r="J4" s="50" t="n"/>
      <c r="K4" s="1" t="n"/>
      <c r="L4" s="67" t="inlineStr">
        <is>
          <t>Thống Kê</t>
        </is>
      </c>
      <c r="M4" s="68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6">
      <c r="A5" s="1" t="n"/>
      <c r="B5" s="10" t="inlineStr">
        <is>
          <t xml:space="preserve">Tasks </t>
        </is>
      </c>
      <c r="C5" s="11" t="inlineStr">
        <is>
          <t>Start date</t>
        </is>
      </c>
      <c r="D5" s="11" t="inlineStr">
        <is>
          <t>Due date</t>
        </is>
      </c>
      <c r="E5" s="11" t="inlineStr">
        <is>
          <t>Closed date</t>
        </is>
      </c>
      <c r="F5" s="10" t="inlineStr">
        <is>
          <t>Estimate (h)</t>
        </is>
      </c>
      <c r="G5" s="10" t="inlineStr">
        <is>
          <t>Spent (h)</t>
        </is>
      </c>
      <c r="H5" s="10" t="inlineStr">
        <is>
          <t>Số lần bị reopen</t>
        </is>
      </c>
      <c r="I5" s="10" t="inlineStr">
        <is>
          <t>Loại task</t>
        </is>
      </c>
      <c r="J5" s="10" t="inlineStr">
        <is>
          <t>Tiến độ</t>
        </is>
      </c>
      <c r="K5" s="12" t="n"/>
      <c r="L5" s="13" t="inlineStr">
        <is>
          <t xml:space="preserve">Tổng số task </t>
        </is>
      </c>
      <c r="M5" s="25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.75" customHeight="1" s="66">
      <c r="A6" s="1" t="n"/>
      <c r="B6" s="19" t="n"/>
      <c r="C6" s="24" t="n"/>
      <c r="D6" s="21" t="n"/>
      <c r="E6" s="21" t="n"/>
      <c r="F6" s="24" t="n"/>
      <c r="G6" s="24" t="n"/>
      <c r="H6" s="24" t="n"/>
      <c r="I6" s="24" t="n"/>
      <c r="J6" s="24" t="n"/>
      <c r="K6" s="1" t="n"/>
      <c r="L6" s="13" t="inlineStr">
        <is>
          <t xml:space="preserve">Tổng số task kế hoạch </t>
        </is>
      </c>
      <c r="M6" s="25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6">
      <c r="A7" s="1" t="n"/>
      <c r="K7" s="1" t="n"/>
      <c r="L7" s="25" t="inlineStr">
        <is>
          <t xml:space="preserve">Tổng số task phát sinh </t>
        </is>
      </c>
      <c r="M7" s="25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6">
      <c r="A8" s="1" t="n"/>
      <c r="K8" s="1" t="n"/>
      <c r="L8" s="25" t="inlineStr">
        <is>
          <t>Tổng thời gian làm việc theo lịch công ty (h)</t>
        </is>
      </c>
      <c r="M8" s="25" t="n">
        <v>192</v>
      </c>
      <c r="N8" s="2" t="inlineStr">
        <is>
          <t>Chỗ này luôn để là 192h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6">
      <c r="A9" s="1" t="n"/>
      <c r="K9" s="1" t="n"/>
      <c r="L9" s="25" t="inlineStr">
        <is>
          <t>Tổng thời gian Estimate (h)</t>
        </is>
      </c>
      <c r="M9" s="25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6">
      <c r="A10" s="1" t="n"/>
      <c r="K10" s="1" t="n"/>
      <c r="L10" s="25" t="inlineStr">
        <is>
          <t>Tổng thời gian Spent time (h)</t>
        </is>
      </c>
      <c r="M10" s="25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6">
      <c r="A11" s="1" t="n"/>
      <c r="K11" s="1" t="n"/>
      <c r="L11" s="13" t="inlineStr">
        <is>
          <t xml:space="preserve">Tổng thời gian Spent time (h) của task kế hoạch </t>
        </is>
      </c>
      <c r="M11" s="25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6">
      <c r="A12" s="1" t="n"/>
      <c r="K12" s="1" t="n"/>
      <c r="L12" s="13" t="inlineStr">
        <is>
          <t xml:space="preserve">Tổng thời gian Spent time (h) của task phát sinh </t>
        </is>
      </c>
      <c r="M12" s="25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6">
      <c r="A13" s="1" t="n"/>
      <c r="K13" s="1" t="n"/>
      <c r="L13" s="13" t="inlineStr">
        <is>
          <t>Số lượng task chưa có Start date</t>
        </is>
      </c>
      <c r="M13" s="25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6">
      <c r="A14" s="1" t="n"/>
      <c r="K14" s="1" t="n"/>
      <c r="L14" s="13" t="inlineStr">
        <is>
          <t>Số lượng task chưa có Due date</t>
        </is>
      </c>
      <c r="M14" s="25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6">
      <c r="A15" s="1" t="n"/>
      <c r="K15" s="1" t="n"/>
      <c r="L15" s="13" t="inlineStr">
        <is>
          <t xml:space="preserve">Số lượng task chưa có Estimate </t>
        </is>
      </c>
      <c r="M15" s="25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66">
      <c r="A16" s="1" t="n"/>
      <c r="K16" s="1" t="n"/>
      <c r="L16" s="13" t="inlineStr">
        <is>
          <t>Số lượng task chưa có Spent time</t>
        </is>
      </c>
      <c r="M16" s="25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66">
      <c r="A17" s="1" t="n"/>
      <c r="K17" s="1" t="n"/>
      <c r="L17" s="25" t="inlineStr">
        <is>
          <t xml:space="preserve">Tổng số task đúng hạn </t>
        </is>
      </c>
      <c r="M17" s="25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6">
      <c r="A18" s="1" t="n"/>
      <c r="K18" s="1" t="n"/>
      <c r="L18" s="25" t="inlineStr">
        <is>
          <t xml:space="preserve">Tổng số task trễ hạn </t>
        </is>
      </c>
      <c r="M18" s="25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6">
      <c r="A19" s="1" t="n"/>
      <c r="K19" s="1" t="n"/>
      <c r="L19" s="25" t="n"/>
      <c r="M19" s="25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6">
      <c r="A20" s="1" t="n"/>
      <c r="K20" s="1" t="n"/>
      <c r="L20" s="25" t="inlineStr">
        <is>
          <t xml:space="preserve">Tổng số task không bị reopen </t>
        </is>
      </c>
      <c r="M20" s="25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6">
      <c r="A21" s="1" t="n"/>
      <c r="K21" s="1" t="n"/>
      <c r="L21" s="25" t="inlineStr">
        <is>
          <t xml:space="preserve">Tổng số task có bị reopen </t>
        </is>
      </c>
      <c r="M21" s="25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6">
      <c r="A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6">
      <c r="A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6">
      <c r="A24" s="1" t="n"/>
      <c r="K24" s="1" t="n"/>
      <c r="L24" s="67" t="inlineStr">
        <is>
          <t>Tỉ lệ (%)</t>
        </is>
      </c>
      <c r="M24" s="68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6">
      <c r="A25" s="1" t="n"/>
      <c r="K25" s="1" t="n"/>
      <c r="L25" s="13" t="inlineStr">
        <is>
          <t xml:space="preserve">Số lượng task chưa có Start date / Tổng số task </t>
        </is>
      </c>
      <c r="M25" s="51">
        <f>M13/M5*100</f>
        <v/>
      </c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6">
      <c r="A26" s="1" t="n"/>
      <c r="K26" s="1" t="n"/>
      <c r="L26" s="13" t="inlineStr">
        <is>
          <t xml:space="preserve">Số lượng task chưa có Due date / Tổng số task </t>
        </is>
      </c>
      <c r="M26" s="51">
        <f>M14/M5*100</f>
        <v/>
      </c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6">
      <c r="A27" s="1" t="n"/>
      <c r="K27" s="1" t="n"/>
      <c r="L27" s="13" t="inlineStr">
        <is>
          <t xml:space="preserve">Số lượng task chưa có Estimate / Tổng số task </t>
        </is>
      </c>
      <c r="M27" s="51">
        <f>M15/M5*100</f>
        <v/>
      </c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6">
      <c r="A28" s="1" t="n"/>
      <c r="K28" s="1" t="n"/>
      <c r="L28" s="13" t="inlineStr">
        <is>
          <t xml:space="preserve">Số lượng task chưa có Spent time / Tổng số task </t>
        </is>
      </c>
      <c r="M28" s="51">
        <f>M16/M5*100</f>
        <v/>
      </c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66">
      <c r="A29" s="1" t="n"/>
      <c r="K29" s="1" t="n"/>
      <c r="L29" s="25" t="inlineStr">
        <is>
          <t xml:space="preserve">Tổng số task đúng hạn / Tổng số task </t>
        </is>
      </c>
      <c r="M29" s="51">
        <f>M17/M5*100</f>
        <v/>
      </c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K30" s="1" t="n"/>
      <c r="L30" s="25" t="n"/>
      <c r="M30" s="5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K31" s="1" t="n"/>
      <c r="L31" s="25" t="inlineStr">
        <is>
          <t>Tổng số task trễ hạn / Tổng số task</t>
        </is>
      </c>
      <c r="M31" s="51">
        <f>M18/M5*100</f>
        <v/>
      </c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K32" s="1" t="n"/>
      <c r="L32" s="25" t="inlineStr">
        <is>
          <t>Tổng số task không bị reopen / Tổng số task</t>
        </is>
      </c>
      <c r="M32" s="51">
        <f>M20/M5*100</f>
        <v/>
      </c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6">
      <c r="L33" s="25" t="inlineStr">
        <is>
          <t xml:space="preserve">Tổng số task có bị reopen / Tổng số task </t>
        </is>
      </c>
      <c r="M33" s="51">
        <f>M21/M5*100</f>
        <v/>
      </c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6">
      <c r="L34" s="25" t="inlineStr">
        <is>
          <t xml:space="preserve">Tổng số task phát sinh / Tổng số task </t>
        </is>
      </c>
      <c r="M34" s="51">
        <f>M7/M5*100</f>
        <v/>
      </c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6">
      <c r="L35" s="25" t="n"/>
      <c r="M35" s="5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6">
      <c r="L36" s="25" t="inlineStr">
        <is>
          <t>Tổng thời gian Spent time / Tổng thời gian làm việc theo lịch công ty</t>
        </is>
      </c>
      <c r="M36" s="51">
        <f>M10/M8*100</f>
        <v/>
      </c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L37" s="25" t="inlineStr">
        <is>
          <t xml:space="preserve">Tổng thời gian Spent time / Tổng thời gian Estimate </t>
        </is>
      </c>
      <c r="M37" s="51">
        <f>M10/M9*100</f>
        <v/>
      </c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6">
      <c r="L38" s="25" t="inlineStr">
        <is>
          <t>Tổng thời gian Spent time của task kế hoạch / Tổng thời gian Spent time</t>
        </is>
      </c>
      <c r="M38" s="51">
        <f>M11/M10*100</f>
        <v/>
      </c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66">
      <c r="L39" s="25" t="inlineStr">
        <is>
          <t>Tổng thời gian Spent time của task phát sinh / Tổng thời gian Spent time</t>
        </is>
      </c>
      <c r="M39" s="51">
        <f>M12/M10*100</f>
        <v/>
      </c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  <row r="1000" ht="15.75" customHeight="1" s="66"/>
    <row r="1001" ht="15.75" customHeight="1" s="66"/>
    <row r="1002" ht="15.75" customHeight="1" s="66"/>
    <row r="1003" ht="15.75" customHeight="1" s="66"/>
    <row r="1004" ht="15.75" customHeight="1" s="66"/>
    <row r="1005" ht="15.75" customHeight="1" s="66"/>
    <row r="1006" ht="15.75" customHeight="1" s="66"/>
    <row r="1007" ht="15.75" customHeight="1" s="66"/>
    <row r="1008" ht="15.75" customHeight="1" s="66"/>
    <row r="1009" ht="15.75" customHeight="1" s="66"/>
    <row r="1010" ht="15.75" customHeight="1" s="66"/>
  </sheetData>
  <mergeCells count="2">
    <mergeCell ref="L24:M24"/>
    <mergeCell ref="L4:M4"/>
  </mergeCells>
  <pageMargins left="0" right="0" top="0" bottom="0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2025-05-10T01:27:03Z</dcterms:created>
  <dcterms:modified xsi:type="dcterms:W3CDTF">2026-10-05T07:30:17Z</dcterms:modified>
</cp:coreProperties>
</file>