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áo cáo công việc" sheetId="1" state="visible" r:id="rId1"/>
    <sheet name="Chấm điểm KPI" sheetId="2" state="visible" r:id="rId2"/>
  </sheets>
  <definedNames>
    <definedName name="_xlnm.Print_Area" localSheetId="1">'Chấm điểm KPI'!$A$1:$J$57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5">
    <font>
      <name val="Arial"/>
      <color rgb="FF000000"/>
      <sz val="10"/>
      <scheme val="minor"/>
    </font>
    <font>
      <name val="Times New Roman"/>
      <color theme="1"/>
      <sz val="10"/>
    </font>
    <font>
      <name val="Times New Roman"/>
      <b val="1"/>
      <color theme="1"/>
      <sz val="10"/>
    </font>
    <font>
      <name val="Times New Roman"/>
      <b val="1"/>
      <color theme="1"/>
    </font>
    <font>
      <name val="Times New Roman"/>
      <b val="1"/>
      <color theme="1"/>
      <sz val="16"/>
    </font>
    <font>
      <name val="Arial"/>
      <color theme="1"/>
    </font>
    <font>
      <name val="Arial"/>
      <color rgb="FF000000"/>
      <scheme val="minor"/>
    </font>
    <font>
      <name val="Arial"/>
      <color theme="1"/>
      <sz val="10"/>
      <scheme val="minor"/>
    </font>
    <font/>
    <font>
      <name val="Arial"/>
      <color theme="1"/>
      <scheme val="minor"/>
    </font>
    <font>
      <color rgb="FF0000FF"/>
      <u val="single"/>
    </font>
    <font>
      <name val="Times New Roman"/>
      <color rgb="FF0000FF"/>
      <sz val="10"/>
    </font>
    <font>
      <name val="Times New Roman"/>
      <color rgb="FFFF0000"/>
      <sz val="10"/>
    </font>
    <font>
      <name val="Times New Roman"/>
      <b val="1"/>
      <color rgb="FF000000"/>
      <sz val="10"/>
    </font>
    <font>
      <name val="Times New Roman"/>
      <color rgb="FF000000"/>
      <sz val="10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bottom"/>
    </xf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8" fillId="0" borderId="2" pivotButton="0" quotePrefix="0" xfId="0"/>
    <xf numFmtId="0" fontId="9" fillId="2" borderId="3" applyAlignment="1" pivotButton="0" quotePrefix="0" xfId="0">
      <alignment vertical="bottom"/>
    </xf>
    <xf numFmtId="14" fontId="9" fillId="2" borderId="3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3" borderId="3" pivotButton="0" quotePrefix="0" xfId="0"/>
    <xf numFmtId="0" fontId="1" fillId="0" borderId="3" pivotButton="0" quotePrefix="0" xfId="0"/>
    <xf numFmtId="0" fontId="2" fillId="3" borderId="4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4" borderId="3" applyAlignment="1" pivotButton="0" quotePrefix="0" xfId="0">
      <alignment wrapText="1"/>
    </xf>
    <xf numFmtId="0" fontId="8" fillId="0" borderId="5" pivotButton="0" quotePrefix="0" xfId="0"/>
    <xf numFmtId="0" fontId="10" fillId="0" borderId="3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164" fontId="9" fillId="0" borderId="3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11" fillId="0" borderId="3" applyAlignment="1" pivotButton="0" quotePrefix="0" xfId="0">
      <alignment wrapText="1"/>
    </xf>
    <xf numFmtId="0" fontId="9" fillId="0" borderId="3" applyAlignment="1" pivotButton="0" quotePrefix="0" xfId="0">
      <alignment horizontal="left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2" fillId="0" borderId="3" applyAlignment="1" pivotButton="0" quotePrefix="0" xfId="0">
      <alignment wrapText="1"/>
    </xf>
    <xf numFmtId="0" fontId="1" fillId="0" borderId="6" pivotButton="0" quotePrefix="0" xfId="0"/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8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9" fontId="1" fillId="0" borderId="13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1" fillId="0" borderId="14" applyAlignment="1" pivotButton="0" quotePrefix="0" xfId="0">
      <alignment vertical="center"/>
    </xf>
    <xf numFmtId="0" fontId="8" fillId="0" borderId="11" pivotButton="0" quotePrefix="0" xfId="0"/>
    <xf numFmtId="0" fontId="8" fillId="0" borderId="15" pivotButton="0" quotePrefix="0" xfId="0"/>
    <xf numFmtId="0" fontId="1" fillId="0" borderId="14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16" pivotButton="0" quotePrefix="0" xfId="0"/>
    <xf numFmtId="0" fontId="9" fillId="2" borderId="3" applyAlignment="1" pivotButton="0" quotePrefix="0" xfId="0">
      <alignment horizontal="left" vertical="bottom"/>
    </xf>
    <xf numFmtId="0" fontId="8" fillId="0" borderId="14" pivotButton="0" quotePrefix="0" xfId="0"/>
    <xf numFmtId="14" fontId="9" fillId="2" borderId="3" applyAlignment="1" pivotButton="0" quotePrefix="0" xfId="0">
      <alignment horizontal="left" vertical="bottom"/>
    </xf>
    <xf numFmtId="0" fontId="7" fillId="0" borderId="3" applyAlignment="1" pivotButton="0" quotePrefix="0" xfId="0">
      <alignment horizontal="left"/>
    </xf>
    <xf numFmtId="0" fontId="7" fillId="0" borderId="0" pivotButton="0" quotePrefix="0" xfId="0"/>
    <xf numFmtId="165" fontId="1" fillId="0" borderId="3" pivotButton="0" quotePrefix="0" xfId="0"/>
    <xf numFmtId="0" fontId="1" fillId="0" borderId="11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5" applyAlignment="1" pivotButton="0" quotePrefix="0" xfId="0">
      <alignment vertical="center" wrapText="1"/>
    </xf>
    <xf numFmtId="0" fontId="1" fillId="0" borderId="15" applyAlignment="1" pivotButton="0" quotePrefix="0" xfId="0">
      <alignment vertical="center"/>
    </xf>
    <xf numFmtId="9" fontId="1" fillId="0" borderId="15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0" fontId="14" fillId="3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5" pivotButton="0" quotePrefix="0" xfId="0"/>
    <xf numFmtId="0" fontId="0" fillId="0" borderId="14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9" fontId="1" fillId="0" borderId="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1" fillId="0" borderId="16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 wrapText="1"/>
    </xf>
    <xf numFmtId="9" fontId="1" fillId="0" borderId="14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/>
    </xf>
    <xf numFmtId="0" fontId="14" fillId="3" borderId="3" applyAlignment="1" pivotButton="0" quotePrefix="0" xfId="0">
      <alignment horizontal="left" vertical="top" wrapText="1"/>
    </xf>
    <xf numFmtId="0" fontId="13" fillId="4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top"/>
    </xf>
    <xf numFmtId="0" fontId="1" fillId="0" borderId="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9"/>
  <sheetViews>
    <sheetView workbookViewId="0">
      <selection activeCell="A1" sqref="A1"/>
    </sheetView>
  </sheetViews>
  <sheetFormatPr baseColWidth="8" defaultColWidth="12.63" defaultRowHeight="15" customHeight="1"/>
  <cols>
    <col width="12.75" customWidth="1" style="66" min="1" max="1"/>
    <col width="69.5" customWidth="1" style="66" min="2" max="2"/>
    <col width="12.75" customWidth="1" style="66" min="3" max="7"/>
    <col width="13.13" customWidth="1" style="66" min="8" max="8"/>
    <col width="13.75" customWidth="1" style="66" min="9" max="10"/>
    <col width="14.75" customWidth="1" style="66" min="11" max="11"/>
    <col width="57.13" customWidth="1" style="66" min="12" max="12"/>
    <col width="12.75" customWidth="1" style="66" min="13" max="26"/>
  </cols>
  <sheetData>
    <row r="1" ht="15.75" customHeight="1" s="66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66">
      <c r="A2" s="1" t="n"/>
      <c r="B2" s="3" t="n"/>
      <c r="C2" s="5" t="n"/>
      <c r="D2" s="5" t="n"/>
      <c r="E2" s="5" t="n"/>
      <c r="F2" s="5" t="n"/>
      <c r="G2" s="5" t="n"/>
      <c r="H2" s="5" t="n"/>
      <c r="I2" s="5" t="n"/>
      <c r="J2" s="5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66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66">
      <c r="A4" s="1" t="n"/>
      <c r="B4" s="6" t="n"/>
      <c r="C4" s="50" t="n"/>
      <c r="D4" s="50" t="n"/>
      <c r="E4" s="50" t="n"/>
      <c r="F4" s="50" t="n"/>
      <c r="G4" s="50" t="n"/>
      <c r="H4" s="50" t="n"/>
      <c r="I4" s="50" t="n"/>
      <c r="J4" s="50" t="n"/>
      <c r="K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L4" s="67" t="inlineStr">
        <is>
          <t>Thống Kê</t>
        </is>
      </c>
      <c r="M4" s="68" t="n"/>
      <c r="N4" s="1" t="n"/>
    </row>
    <row r="5" ht="15.75" customHeight="1" s="66">
      <c r="A5" s="1" t="n"/>
      <c r="B5" s="10" t="inlineStr">
        <is>
          <t xml:space="preserve">Tasks </t>
        </is>
      </c>
      <c r="C5" s="11" t="inlineStr">
        <is>
          <t>Start date</t>
        </is>
      </c>
      <c r="D5" s="11" t="inlineStr">
        <is>
          <t>Due date</t>
        </is>
      </c>
      <c r="E5" s="11" t="inlineStr">
        <is>
          <t>Closed date</t>
        </is>
      </c>
      <c r="F5" s="10" t="inlineStr">
        <is>
          <t>Estimate (h)</t>
        </is>
      </c>
      <c r="G5" s="10" t="inlineStr">
        <is>
          <t>Spent (h)</t>
        </is>
      </c>
      <c r="H5" s="10" t="inlineStr">
        <is>
          <t>Số lần bị reopen</t>
        </is>
      </c>
      <c r="I5" s="10" t="inlineStr">
        <is>
          <t>Loại task</t>
        </is>
      </c>
      <c r="J5" s="10" t="inlineStr">
        <is>
          <t>Tiến độ</t>
        </is>
      </c>
      <c r="K5" s="12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L5" s="13" t="inlineStr">
        <is>
          <t xml:space="preserve">Tổng số task </t>
        </is>
      </c>
      <c r="M5" s="25" t="n"/>
      <c r="N5" s="1" t="n"/>
    </row>
    <row r="6" ht="15.75" customHeight="1" s="66">
      <c r="A6" s="1" t="n"/>
      <c r="B6" s="19" t="n"/>
      <c r="C6" s="24" t="n"/>
      <c r="D6" s="21" t="n"/>
      <c r="E6" s="21" t="n"/>
      <c r="F6" s="24" t="n"/>
      <c r="G6" s="24" t="n"/>
      <c r="H6" s="24" t="n"/>
      <c r="I6" s="24" t="n"/>
      <c r="J6" s="24" t="n"/>
      <c r="K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L6" s="13" t="inlineStr">
        <is>
          <t xml:space="preserve">Tổng số task kế hoạch </t>
        </is>
      </c>
      <c r="M6" s="25" t="n"/>
      <c r="N6" s="1" t="n"/>
    </row>
    <row r="7" ht="15.75" customHeight="1" s="66">
      <c r="A7" s="1" t="n"/>
      <c r="K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L7" s="25" t="inlineStr">
        <is>
          <t xml:space="preserve">Tổng số task phát sinh </t>
        </is>
      </c>
      <c r="M7" s="25" t="n"/>
      <c r="N7" s="1" t="n"/>
    </row>
    <row r="8" ht="15.75" customHeight="1" s="66">
      <c r="A8" s="1" t="n"/>
      <c r="K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L8" s="25" t="inlineStr">
        <is>
          <t>Tổng thời gian làm việc theo lịch công ty (h)</t>
        </is>
      </c>
      <c r="M8" s="25" t="n">
        <v>192</v>
      </c>
      <c r="N8" s="2" t="inlineStr">
        <is>
          <t>Chỗ này luôn để là 192h</t>
        </is>
      </c>
    </row>
    <row r="9" ht="15.75" customHeight="1" s="66">
      <c r="A9" s="1" t="n"/>
      <c r="K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L9" s="25" t="inlineStr">
        <is>
          <t>Tổng thời gian Estimate (h)</t>
        </is>
      </c>
      <c r="M9" s="25" t="n"/>
      <c r="N9" s="1" t="n"/>
    </row>
    <row r="10" ht="15.75" customHeight="1" s="66">
      <c r="A10" s="1" t="n"/>
      <c r="K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L10" s="25" t="inlineStr">
        <is>
          <t>Tổng thời gian Spent time (h)</t>
        </is>
      </c>
      <c r="M10" s="25" t="n"/>
      <c r="N10" s="1" t="n"/>
    </row>
    <row r="11" ht="15.75" customHeight="1" s="66">
      <c r="A11" s="1" t="n"/>
      <c r="K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L11" s="13" t="inlineStr">
        <is>
          <t xml:space="preserve">Tổng thời gian Spent time (h) của task kế hoạch </t>
        </is>
      </c>
      <c r="M11" s="25" t="n"/>
      <c r="N11" s="1" t="n"/>
    </row>
    <row r="12" ht="15.75" customHeight="1" s="66">
      <c r="A12" s="1" t="n"/>
      <c r="K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L12" s="13" t="inlineStr">
        <is>
          <t xml:space="preserve">Tổng thời gian Spent time (h) của task phát sinh </t>
        </is>
      </c>
      <c r="M12" s="25" t="n"/>
      <c r="N12" s="1" t="n"/>
    </row>
    <row r="13" ht="15.75" customHeight="1" s="66">
      <c r="A13" s="1" t="n"/>
      <c r="K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L13" s="13" t="inlineStr">
        <is>
          <t>Số lượng task chưa có Start date</t>
        </is>
      </c>
      <c r="M13" s="25" t="n"/>
      <c r="N13" s="1" t="n"/>
    </row>
    <row r="14" ht="15.75" customHeight="1" s="66">
      <c r="A14" s="1" t="n"/>
      <c r="K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L14" s="13" t="inlineStr">
        <is>
          <t>Số lượng task chưa có Due date</t>
        </is>
      </c>
      <c r="M14" s="25" t="n"/>
      <c r="N14" s="1" t="n"/>
    </row>
    <row r="15" ht="15.75" customHeight="1" s="66">
      <c r="A15" s="1" t="n"/>
      <c r="K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L15" s="13" t="inlineStr">
        <is>
          <t xml:space="preserve">Số lượng task chưa có Estimate </t>
        </is>
      </c>
      <c r="M15" s="25" t="n"/>
      <c r="N15" s="1" t="n"/>
    </row>
    <row r="16" ht="15.75" customHeight="1" s="66">
      <c r="A16" s="1" t="n"/>
      <c r="K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L16" s="13" t="inlineStr">
        <is>
          <t>Số lượng task chưa có Spent time</t>
        </is>
      </c>
      <c r="M16" s="25" t="n"/>
      <c r="N16" s="1" t="n"/>
    </row>
    <row r="17" ht="15.75" customHeight="1" s="66">
      <c r="A17" s="1" t="n"/>
      <c r="K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L17" s="25" t="inlineStr">
        <is>
          <t xml:space="preserve">Tổng số task đúng hạn </t>
        </is>
      </c>
      <c r="M17" s="25" t="n"/>
      <c r="N17" s="1" t="n"/>
    </row>
    <row r="18" ht="15.75" customHeight="1" s="66">
      <c r="A18" s="1" t="n"/>
      <c r="K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L18" s="25" t="inlineStr">
        <is>
          <t xml:space="preserve">Tổng số task trễ hạn </t>
        </is>
      </c>
      <c r="M18" s="25" t="n"/>
      <c r="N18" s="1" t="n"/>
    </row>
    <row r="19" ht="15.75" customHeight="1" s="66">
      <c r="A19" s="1" t="n"/>
      <c r="K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L19" s="25" t="inlineStr">
        <is>
          <t xml:space="preserve">Tổng số task không bị reopen </t>
        </is>
      </c>
      <c r="M19" s="25" t="n"/>
      <c r="N19" s="1" t="n"/>
    </row>
    <row r="20" ht="15.75" customHeight="1" s="66">
      <c r="A20" s="1" t="n"/>
      <c r="K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L20" s="25" t="inlineStr">
        <is>
          <t xml:space="preserve">Tổng số task có bị reopen </t>
        </is>
      </c>
      <c r="M20" s="25" t="n"/>
      <c r="N20" s="1" t="n"/>
    </row>
    <row r="21" ht="15.75" customHeight="1" s="66">
      <c r="A21" s="1" t="n"/>
      <c r="K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6">
      <c r="A22" s="1" t="n"/>
      <c r="K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6">
      <c r="A23" s="1" t="n"/>
      <c r="K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L23" s="67" t="inlineStr">
        <is>
          <t>Tỉ lệ (%)</t>
        </is>
      </c>
      <c r="M23" s="68" t="n"/>
      <c r="N23" s="1" t="n"/>
    </row>
    <row r="24" ht="15.75" customHeight="1" s="66">
      <c r="A24" s="1" t="n"/>
      <c r="K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L24" s="13" t="inlineStr">
        <is>
          <t xml:space="preserve">Số lượng task chưa có Start date / Tổng số task </t>
        </is>
      </c>
      <c r="M24" s="51">
        <f>M13/M5*100</f>
        <v/>
      </c>
      <c r="N24" s="1" t="n"/>
    </row>
    <row r="25" ht="15.75" customHeight="1" s="66">
      <c r="A25" s="1" t="n"/>
      <c r="K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L25" s="13" t="inlineStr">
        <is>
          <t xml:space="preserve">Số lượng task chưa có Due date / Tổng số task </t>
        </is>
      </c>
      <c r="M25" s="51">
        <f>M14/M5*100</f>
        <v/>
      </c>
      <c r="N25" s="1" t="n"/>
    </row>
    <row r="26" ht="15.75" customHeight="1" s="66">
      <c r="A26" s="1" t="n"/>
      <c r="K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L26" s="13" t="inlineStr">
        <is>
          <t xml:space="preserve">Số lượng task chưa có Estimate / Tổng số task </t>
        </is>
      </c>
      <c r="M26" s="51">
        <f>M15/M5*100</f>
        <v/>
      </c>
      <c r="N26" s="1" t="n"/>
    </row>
    <row r="27" ht="15.75" customHeight="1" s="66">
      <c r="A27" s="1" t="n"/>
      <c r="K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L27" s="13" t="inlineStr">
        <is>
          <t xml:space="preserve">Số lượng task chưa có Spent time / Tổng số task </t>
        </is>
      </c>
      <c r="M27" s="51">
        <f>M16/M5*100</f>
        <v/>
      </c>
      <c r="N27" s="1" t="n"/>
    </row>
    <row r="28" ht="15.75" customHeight="1" s="66">
      <c r="A28" s="1" t="n"/>
      <c r="K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L28" s="25" t="inlineStr">
        <is>
          <t xml:space="preserve">Tổng số task đúng hạn / Tổng số task </t>
        </is>
      </c>
      <c r="M28" s="51">
        <f>M17/M5*100</f>
        <v/>
      </c>
      <c r="N28" s="1" t="n"/>
    </row>
    <row r="29" ht="15.75" customHeight="1" s="66">
      <c r="A29" s="1" t="n"/>
      <c r="K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L29" s="25" t="inlineStr">
        <is>
          <t>Tổng số task trễ hạn / Tổng số task</t>
        </is>
      </c>
      <c r="M29" s="51">
        <f>M18/M5*100</f>
        <v/>
      </c>
      <c r="N29" s="1" t="n"/>
    </row>
    <row r="30">
      <c r="A30" s="1" t="n"/>
      <c r="K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L30" s="25" t="inlineStr">
        <is>
          <t>Tổng số task không bị reopen / Tổng số task</t>
        </is>
      </c>
      <c r="M30" s="51">
        <f>M19/M5*100</f>
        <v/>
      </c>
      <c r="N30" s="1" t="n"/>
    </row>
    <row r="31">
      <c r="A31" s="1" t="n"/>
      <c r="K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L31" s="25" t="inlineStr">
        <is>
          <t xml:space="preserve">Tổng số task có bị reopen / Tổng số task </t>
        </is>
      </c>
      <c r="M31" s="51">
        <f>M20/M5*100</f>
        <v/>
      </c>
      <c r="N31" s="1" t="n"/>
    </row>
    <row r="32">
      <c r="A32" s="1" t="n"/>
      <c r="K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L32" s="25" t="inlineStr">
        <is>
          <t xml:space="preserve">Tổng số task phát sinh / Tổng số task </t>
        </is>
      </c>
      <c r="M32" s="51">
        <f>M7/M5*100</f>
        <v/>
      </c>
      <c r="N32" s="1" t="n"/>
    </row>
    <row r="33" ht="15.75" customHeight="1" s="66"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L33" s="25" t="inlineStr">
        <is>
          <t>Tổng thời gian Spent time / Tổng thời gian làm việc theo lịch công ty</t>
        </is>
      </c>
      <c r="M33" s="51">
        <f>M10/M8*100</f>
        <v/>
      </c>
      <c r="N33" s="1" t="n"/>
    </row>
    <row r="34" ht="15.75" customHeight="1" s="66"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L34" s="25" t="inlineStr">
        <is>
          <t xml:space="preserve">Tổng thời gian Spent time / Tổng thời gian Estimate </t>
        </is>
      </c>
      <c r="M34" s="51">
        <f>M10/M9*100</f>
        <v/>
      </c>
      <c r="N34" s="1" t="n"/>
    </row>
    <row r="35" ht="15.75" customHeight="1" s="66"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L35" s="25" t="inlineStr">
        <is>
          <t>Tổng thời gian Spent time của task kế hoạch / Tổng thời gian Spent time</t>
        </is>
      </c>
      <c r="M35" s="51">
        <f>M11/M10*100</f>
        <v/>
      </c>
      <c r="N35" s="1" t="n"/>
    </row>
    <row r="36" ht="15.75" customHeight="1" s="66"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L36" s="25" t="inlineStr">
        <is>
          <t>Tổng thời gian Spent time của task phát sinh / Tổng thời gian Spent time</t>
        </is>
      </c>
      <c r="M36" s="51">
        <f>M12/M10*100</f>
        <v/>
      </c>
      <c r="N36" s="1" t="n"/>
    </row>
    <row r="37"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6"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66"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  <row r="1001" ht="15.75" customHeight="1" s="66"/>
    <row r="1002" ht="15.75" customHeight="1" s="66"/>
    <row r="1003" ht="15.75" customHeight="1" s="66"/>
    <row r="1004" ht="15.75" customHeight="1" s="66"/>
    <row r="1005" ht="15.75" customHeight="1" s="66"/>
    <row r="1006" ht="15.75" customHeight="1" s="66"/>
    <row r="1007" ht="15.75" customHeight="1" s="66"/>
    <row r="1008" ht="15.75" customHeight="1" s="66"/>
    <row r="1009" ht="15.75" customHeight="1" s="66"/>
    <row r="1010" ht="15.75" customHeight="1" s="66"/>
  </sheetData>
  <mergeCells count="2">
    <mergeCell ref="L23:M23"/>
    <mergeCell ref="L4:M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57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66" min="1" max="1"/>
    <col width="18.75" customWidth="1" style="66" min="2" max="2"/>
    <col width="19.88" customWidth="1" style="66" min="3" max="3"/>
    <col width="22.13" customWidth="1" style="66" min="4" max="4"/>
    <col width="10.13" customWidth="1" style="66" min="5" max="5"/>
    <col width="12.75" customWidth="1" style="66" min="6" max="7"/>
    <col width="5.13" customWidth="1" style="66" min="8" max="8"/>
    <col width="23.75" customWidth="1" style="66" min="9" max="9"/>
    <col width="12.75" customWidth="1" style="66" min="10" max="27"/>
  </cols>
  <sheetData>
    <row r="1">
      <c r="A1" s="4" t="inlineStr">
        <is>
          <t>BẢNG KPI ĐÁNH GIÁ HIỆU QUẢ CÔNG VIỆC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">
        <f>"Chu kỳ đánh giá: hàng tháng - "&amp;'Báo cáo công việc'!B2</f>
        <v/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2" t="inlineStr">
        <is>
          <t>Cách chấm điểm: Mỗi tiêu chí có điểm tối đa là 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5" t="n"/>
      <c r="B5" s="15" t="n"/>
      <c r="C5" s="15" t="n"/>
      <c r="D5" s="15" t="n"/>
      <c r="E5" s="15" t="n"/>
      <c r="F5" s="15" t="n"/>
      <c r="G5" s="15" t="n"/>
      <c r="H5" s="1" t="n"/>
      <c r="I5" s="1" t="n"/>
      <c r="J5" s="1" t="n"/>
    </row>
    <row r="6">
      <c r="A6" s="17" t="inlineStr">
        <is>
          <t>Mức điểm KPI</t>
        </is>
      </c>
      <c r="B6" s="68" t="n"/>
      <c r="C6" s="17" t="inlineStr">
        <is>
          <t>Đánh giá</t>
        </is>
      </c>
      <c r="D6" s="17" t="inlineStr">
        <is>
          <t>Chế độ thưởng/phạt hằng tháng</t>
        </is>
      </c>
      <c r="E6" s="69" t="n"/>
      <c r="F6" s="69" t="n"/>
      <c r="G6" s="68" t="n"/>
      <c r="H6" s="1" t="n"/>
      <c r="I6" s="1" t="n"/>
      <c r="J6" s="1" t="n"/>
    </row>
    <row r="7">
      <c r="A7" s="26" t="inlineStr">
        <is>
          <t>4,5 - 5</t>
        </is>
      </c>
      <c r="B7" s="68" t="n"/>
      <c r="C7" s="23" t="inlineStr">
        <is>
          <t>Xuất sắc</t>
        </is>
      </c>
      <c r="D7" s="26" t="inlineStr">
        <is>
          <t>Được xếp loại đánh giá Xuất sắc trong tháng đó.</t>
        </is>
      </c>
      <c r="E7" s="69" t="n"/>
      <c r="F7" s="69" t="n"/>
      <c r="G7" s="68" t="n"/>
      <c r="H7" s="1" t="n"/>
      <c r="I7" s="1" t="n"/>
      <c r="J7" s="1" t="n"/>
    </row>
    <row r="8">
      <c r="A8" s="26" t="inlineStr">
        <is>
          <t>4 - 4,49</t>
        </is>
      </c>
      <c r="B8" s="68" t="n"/>
      <c r="C8" s="23" t="inlineStr">
        <is>
          <t>Tốt</t>
        </is>
      </c>
      <c r="D8" s="26" t="inlineStr">
        <is>
          <t>Được xếp loại đánh giá Tốt trong tháng đó.</t>
        </is>
      </c>
      <c r="E8" s="69" t="n"/>
      <c r="F8" s="69" t="n"/>
      <c r="G8" s="68" t="n"/>
      <c r="H8" s="1" t="n"/>
      <c r="I8" s="1" t="n"/>
      <c r="J8" s="1" t="n"/>
    </row>
    <row r="9">
      <c r="A9" s="26" t="inlineStr">
        <is>
          <t>3,5 - 3,99</t>
        </is>
      </c>
      <c r="B9" s="68" t="n"/>
      <c r="C9" s="26" t="inlineStr">
        <is>
          <t>Đạt yêu cầu</t>
        </is>
      </c>
      <c r="D9" s="26" t="inlineStr">
        <is>
          <t>Không có thưởng phạt.</t>
        </is>
      </c>
      <c r="E9" s="69" t="n"/>
      <c r="F9" s="69" t="n"/>
      <c r="G9" s="68" t="n"/>
      <c r="H9" s="1" t="n"/>
      <c r="I9" s="1" t="n"/>
      <c r="J9" s="1" t="n"/>
    </row>
    <row r="10">
      <c r="A10" s="26" t="inlineStr">
        <is>
          <t>2,5 - 3,5</t>
        </is>
      </c>
      <c r="B10" s="68" t="n"/>
      <c r="C10" s="27" t="inlineStr">
        <is>
          <t>Kém</t>
        </is>
      </c>
      <c r="D10" s="26" t="inlineStr">
        <is>
          <t>Bị cảnh cáo hoặc khiển trách. Có thể xem xét bị chuyển vị trí khác.</t>
        </is>
      </c>
      <c r="E10" s="69" t="n"/>
      <c r="F10" s="69" t="n"/>
      <c r="G10" s="68" t="n"/>
      <c r="H10" s="1" t="n"/>
      <c r="I10" s="1" t="n"/>
      <c r="J10" s="1" t="n"/>
    </row>
    <row r="11">
      <c r="A11" s="26" t="inlineStr">
        <is>
          <t>&lt; 2,5</t>
        </is>
      </c>
      <c r="B11" s="68" t="n"/>
      <c r="C11" s="27" t="inlineStr">
        <is>
          <t>Rất kém</t>
        </is>
      </c>
      <c r="D11" s="26" t="inlineStr">
        <is>
          <t>Bị phạt tài chính (5% lương tháng). Có thể xem xét bị chuyển vị trí khác hoặc bị chấm dứt hợp đồng.</t>
        </is>
      </c>
      <c r="E11" s="69" t="n"/>
      <c r="F11" s="69" t="n"/>
      <c r="G11" s="68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1" t="n"/>
    </row>
    <row r="14">
      <c r="A14" s="29" t="inlineStr">
        <is>
          <t>No</t>
        </is>
      </c>
      <c r="B14" s="30" t="inlineStr">
        <is>
          <t>Tiêu chí</t>
        </is>
      </c>
      <c r="C14" s="30" t="inlineStr">
        <is>
          <t>Chỉ số đo lường</t>
        </is>
      </c>
      <c r="D14" s="30" t="inlineStr">
        <is>
          <t>Cách đo lường</t>
        </is>
      </c>
      <c r="E14" s="30" t="inlineStr">
        <is>
          <t>Trọng số</t>
        </is>
      </c>
      <c r="F14" s="30" t="inlineStr">
        <is>
          <t>Số liệu thực tế</t>
        </is>
      </c>
      <c r="G14" s="30" t="inlineStr">
        <is>
          <t>Điểm (0-5)</t>
        </is>
      </c>
      <c r="H14" s="30" t="inlineStr">
        <is>
          <t>Thang điểm</t>
        </is>
      </c>
      <c r="I14" s="70" t="n"/>
      <c r="J14" s="1" t="n"/>
    </row>
    <row r="15">
      <c r="A15" s="71" t="n">
        <v>1</v>
      </c>
      <c r="B15" s="72" t="inlineStr">
        <is>
          <t>Thái độ 
(Đúng quy trình làm task)</t>
        </is>
      </c>
      <c r="C15" s="73" t="inlineStr">
        <is>
          <t xml:space="preserve">Số lượng task chưa có Estimate / Tổng số task </t>
        </is>
      </c>
      <c r="D15" s="74" t="inlineStr">
        <is>
          <t>Dữ liệu từ hệ thống Gitlab</t>
        </is>
      </c>
      <c r="E15" s="75" t="n">
        <v>0.25</v>
      </c>
      <c r="F15" s="76">
        <f>IF('Báo cáo công việc'!M5=0,"",'Báo cáo công việc'!M26/100)</f>
        <v/>
      </c>
      <c r="G15" s="75">
        <f>IF(F15="","",IF(F15&gt;=0.8,1,IF(F15&gt;=0.5,2,IF(F15&gt;=0.3,3,IF(F15&gt;=0.1,4,5)))))</f>
        <v/>
      </c>
      <c r="H15" s="39" t="n">
        <v>1</v>
      </c>
      <c r="I15" s="40" t="inlineStr">
        <is>
          <t>≥ 80%</t>
        </is>
      </c>
      <c r="J15" s="1" t="n"/>
    </row>
    <row r="16">
      <c r="A16" s="77" t="n"/>
      <c r="B16" s="77" t="n"/>
      <c r="C16" s="78" t="n"/>
      <c r="D16" s="78" t="n"/>
      <c r="E16" s="78" t="n"/>
      <c r="F16" s="78" t="n"/>
      <c r="G16" s="78" t="n"/>
      <c r="H16" s="43" t="n">
        <v>2</v>
      </c>
      <c r="I16" s="40" t="inlineStr">
        <is>
          <t>50% - 79%</t>
        </is>
      </c>
      <c r="J16" s="1" t="n"/>
    </row>
    <row r="17">
      <c r="A17" s="77" t="n"/>
      <c r="B17" s="77" t="n"/>
      <c r="C17" s="78" t="n"/>
      <c r="D17" s="78" t="n"/>
      <c r="E17" s="78" t="n"/>
      <c r="F17" s="78" t="n"/>
      <c r="G17" s="78" t="n"/>
      <c r="H17" s="43" t="n">
        <v>3</v>
      </c>
      <c r="I17" s="40" t="inlineStr">
        <is>
          <t>30% - 49%</t>
        </is>
      </c>
      <c r="J17" s="1" t="n"/>
    </row>
    <row r="18">
      <c r="A18" s="77" t="n"/>
      <c r="B18" s="77" t="n"/>
      <c r="C18" s="78" t="n"/>
      <c r="D18" s="78" t="n"/>
      <c r="E18" s="78" t="n"/>
      <c r="F18" s="78" t="n"/>
      <c r="G18" s="78" t="n"/>
      <c r="H18" s="43" t="n">
        <v>4</v>
      </c>
      <c r="I18" s="40" t="inlineStr">
        <is>
          <t>10% - 29%</t>
        </is>
      </c>
      <c r="J18" s="1" t="n"/>
    </row>
    <row r="19">
      <c r="A19" s="79" t="n"/>
      <c r="B19" s="77" t="n"/>
      <c r="C19" s="70" t="n"/>
      <c r="D19" s="70" t="n"/>
      <c r="E19" s="70" t="n"/>
      <c r="F19" s="70" t="n"/>
      <c r="G19" s="70" t="n"/>
      <c r="H19" s="43" t="n">
        <v>5</v>
      </c>
      <c r="I19" s="40" t="inlineStr">
        <is>
          <t>&lt; 10%</t>
        </is>
      </c>
      <c r="J19" s="1" t="n"/>
    </row>
    <row r="20">
      <c r="A20" s="71" t="n">
        <v>2</v>
      </c>
      <c r="B20" s="77" t="n"/>
      <c r="C20" s="73" t="inlineStr">
        <is>
          <t>Số lượng task chưa có Start date / Tổng số task</t>
        </is>
      </c>
      <c r="D20" s="74" t="inlineStr">
        <is>
          <t>Dữ liệu từ hệ thống Gitlab</t>
        </is>
      </c>
      <c r="E20" s="75" t="n">
        <v>0.25</v>
      </c>
      <c r="F20" s="76">
        <f>IF('Báo cáo công việc'!M5=0,"",'Báo cáo công việc'!M24/100)</f>
        <v/>
      </c>
      <c r="G20" s="75">
        <f>IF(F20="","",IF(F20&gt;=0.8,1,IF(F20&gt;=0.5,2,IF(F20&gt;=0.3,3,IF(F20&gt;=0.1,4,5)))))</f>
        <v/>
      </c>
      <c r="H20" s="39" t="n">
        <v>1</v>
      </c>
      <c r="I20" s="40" t="inlineStr">
        <is>
          <t>≥ 80%</t>
        </is>
      </c>
      <c r="J20" s="1" t="n"/>
    </row>
    <row r="21">
      <c r="A21" s="77" t="n"/>
      <c r="B21" s="77" t="n"/>
      <c r="C21" s="78" t="n"/>
      <c r="D21" s="78" t="n"/>
      <c r="E21" s="78" t="n"/>
      <c r="F21" s="78" t="n"/>
      <c r="G21" s="78" t="n"/>
      <c r="H21" s="43" t="n">
        <v>2</v>
      </c>
      <c r="I21" s="40" t="inlineStr">
        <is>
          <t>50% - 79%</t>
        </is>
      </c>
      <c r="J21" s="1" t="n"/>
    </row>
    <row r="22">
      <c r="A22" s="77" t="n"/>
      <c r="B22" s="77" t="n"/>
      <c r="C22" s="78" t="n"/>
      <c r="D22" s="78" t="n"/>
      <c r="E22" s="78" t="n"/>
      <c r="F22" s="78" t="n"/>
      <c r="G22" s="78" t="n"/>
      <c r="H22" s="43" t="n">
        <v>3</v>
      </c>
      <c r="I22" s="40" t="inlineStr">
        <is>
          <t>30% - 49%</t>
        </is>
      </c>
      <c r="J22" s="1" t="n"/>
    </row>
    <row r="23">
      <c r="A23" s="77" t="n"/>
      <c r="B23" s="77" t="n"/>
      <c r="C23" s="78" t="n"/>
      <c r="D23" s="78" t="n"/>
      <c r="E23" s="78" t="n"/>
      <c r="F23" s="78" t="n"/>
      <c r="G23" s="78" t="n"/>
      <c r="H23" s="43" t="n">
        <v>4</v>
      </c>
      <c r="I23" s="40" t="inlineStr">
        <is>
          <t>10% - 29%</t>
        </is>
      </c>
      <c r="J23" s="1" t="n"/>
    </row>
    <row r="24">
      <c r="A24" s="79" t="n"/>
      <c r="B24" s="77" t="n"/>
      <c r="C24" s="70" t="n"/>
      <c r="D24" s="70" t="n"/>
      <c r="E24" s="70" t="n"/>
      <c r="F24" s="70" t="n"/>
      <c r="G24" s="70" t="n"/>
      <c r="H24" s="43" t="n">
        <v>5</v>
      </c>
      <c r="I24" s="40" t="inlineStr">
        <is>
          <t>&lt; 10%</t>
        </is>
      </c>
      <c r="J24" s="1" t="n"/>
    </row>
    <row r="25">
      <c r="A25" s="71" t="n">
        <v>3</v>
      </c>
      <c r="B25" s="77" t="n"/>
      <c r="C25" s="73" t="inlineStr">
        <is>
          <t xml:space="preserve">Số lượng task chưa có Due date / Tổng số task </t>
        </is>
      </c>
      <c r="D25" s="74" t="inlineStr">
        <is>
          <t>Dữ liệu từ hệ thống Gitlab</t>
        </is>
      </c>
      <c r="E25" s="75" t="n">
        <v>0.25</v>
      </c>
      <c r="F25" s="76">
        <f>IF('Báo cáo công việc'!M5=0,"",'Báo cáo công việc'!M25/100)</f>
        <v/>
      </c>
      <c r="G25" s="75">
        <f>IF(F25="","",IF(F25&gt;=0.8,1,IF(F25&gt;=0.5,2,IF(F25&gt;=0.3,3,IF(F25&gt;=0.1,4,5)))))</f>
        <v/>
      </c>
      <c r="H25" s="39" t="n">
        <v>1</v>
      </c>
      <c r="I25" s="40" t="inlineStr">
        <is>
          <t>≥ 80%</t>
        </is>
      </c>
      <c r="J25" s="1" t="n"/>
    </row>
    <row r="26">
      <c r="A26" s="77" t="n"/>
      <c r="B26" s="77" t="n"/>
      <c r="C26" s="78" t="n"/>
      <c r="D26" s="78" t="n"/>
      <c r="E26" s="78" t="n"/>
      <c r="F26" s="78" t="n"/>
      <c r="G26" s="78" t="n"/>
      <c r="H26" s="43" t="n">
        <v>2</v>
      </c>
      <c r="I26" s="40" t="inlineStr">
        <is>
          <t>50% - 79%</t>
        </is>
      </c>
      <c r="J26" s="1" t="n"/>
    </row>
    <row r="27">
      <c r="A27" s="77" t="n"/>
      <c r="B27" s="77" t="n"/>
      <c r="C27" s="78" t="n"/>
      <c r="D27" s="78" t="n"/>
      <c r="E27" s="78" t="n"/>
      <c r="F27" s="78" t="n"/>
      <c r="G27" s="78" t="n"/>
      <c r="H27" s="43" t="n">
        <v>3</v>
      </c>
      <c r="I27" s="40" t="inlineStr">
        <is>
          <t>30% - 49%</t>
        </is>
      </c>
      <c r="J27" s="1" t="n"/>
    </row>
    <row r="28">
      <c r="A28" s="77" t="n"/>
      <c r="B28" s="77" t="n"/>
      <c r="C28" s="78" t="n"/>
      <c r="D28" s="78" t="n"/>
      <c r="E28" s="78" t="n"/>
      <c r="F28" s="78" t="n"/>
      <c r="G28" s="78" t="n"/>
      <c r="H28" s="43" t="n">
        <v>4</v>
      </c>
      <c r="I28" s="40" t="inlineStr">
        <is>
          <t>10% - 29%</t>
        </is>
      </c>
      <c r="J28" s="1" t="n"/>
    </row>
    <row r="29">
      <c r="A29" s="79" t="n"/>
      <c r="B29" s="77" t="n"/>
      <c r="C29" s="70" t="n"/>
      <c r="D29" s="70" t="n"/>
      <c r="E29" s="70" t="n"/>
      <c r="F29" s="70" t="n"/>
      <c r="G29" s="70" t="n"/>
      <c r="H29" s="43" t="n">
        <v>5</v>
      </c>
      <c r="I29" s="40" t="inlineStr">
        <is>
          <t>&lt; 10%</t>
        </is>
      </c>
      <c r="J29" s="1" t="n"/>
    </row>
    <row r="30">
      <c r="A30" s="71" t="n">
        <v>4</v>
      </c>
      <c r="B30" s="77" t="n"/>
      <c r="C30" s="73" t="inlineStr">
        <is>
          <t xml:space="preserve">Số lượng task chưa có Spent time / Tổng số task </t>
        </is>
      </c>
      <c r="D30" s="74" t="inlineStr">
        <is>
          <t>Dữ liệu từ hệ thống Gitlab</t>
        </is>
      </c>
      <c r="E30" s="75" t="n">
        <v>0.25</v>
      </c>
      <c r="F30" s="76">
        <f>IF('Báo cáo công việc'!M5=0,"",'Báo cáo công việc'!M27/100)</f>
        <v/>
      </c>
      <c r="G30" s="75">
        <f>IF(F30="","",IF(F30&gt;=0.8,1,IF(F30&gt;=0.5,2,IF(F30&gt;=0.3,3,IF(F30&gt;=0.1,4,5)))))</f>
        <v/>
      </c>
      <c r="H30" s="39" t="n">
        <v>1</v>
      </c>
      <c r="I30" s="40" t="inlineStr">
        <is>
          <t>≥ 80%</t>
        </is>
      </c>
      <c r="J30" s="1" t="n"/>
    </row>
    <row r="31">
      <c r="A31" s="77" t="n"/>
      <c r="B31" s="77" t="n"/>
      <c r="C31" s="78" t="n"/>
      <c r="D31" s="78" t="n"/>
      <c r="E31" s="78" t="n"/>
      <c r="F31" s="78" t="n"/>
      <c r="G31" s="78" t="n"/>
      <c r="H31" s="43" t="n">
        <v>2</v>
      </c>
      <c r="I31" s="40" t="inlineStr">
        <is>
          <t>50% - 79%</t>
        </is>
      </c>
      <c r="J31" s="1" t="n"/>
    </row>
    <row r="32">
      <c r="A32" s="77" t="n"/>
      <c r="B32" s="77" t="n"/>
      <c r="C32" s="78" t="n"/>
      <c r="D32" s="78" t="n"/>
      <c r="E32" s="78" t="n"/>
      <c r="F32" s="78" t="n"/>
      <c r="G32" s="78" t="n"/>
      <c r="H32" s="43" t="n">
        <v>3</v>
      </c>
      <c r="I32" s="40" t="inlineStr">
        <is>
          <t>30% - 49%</t>
        </is>
      </c>
      <c r="J32" s="1" t="n"/>
    </row>
    <row r="33">
      <c r="A33" s="77" t="n"/>
      <c r="B33" s="77" t="n"/>
      <c r="C33" s="78" t="n"/>
      <c r="D33" s="78" t="n"/>
      <c r="E33" s="78" t="n"/>
      <c r="F33" s="78" t="n"/>
      <c r="G33" s="78" t="n"/>
      <c r="H33" s="43" t="n">
        <v>4</v>
      </c>
      <c r="I33" s="40" t="inlineStr">
        <is>
          <t>10% - 29%</t>
        </is>
      </c>
      <c r="J33" s="1" t="n"/>
    </row>
    <row r="34">
      <c r="A34" s="79" t="n"/>
      <c r="B34" s="79" t="n"/>
      <c r="C34" s="70" t="n"/>
      <c r="D34" s="70" t="n"/>
      <c r="E34" s="70" t="n"/>
      <c r="F34" s="70" t="n"/>
      <c r="G34" s="70" t="n"/>
      <c r="H34" s="43" t="n">
        <v>5</v>
      </c>
      <c r="I34" s="40" t="inlineStr">
        <is>
          <t>&lt; 10%</t>
        </is>
      </c>
      <c r="J34" s="1" t="n"/>
    </row>
    <row r="35">
      <c r="A35" s="71" t="n">
        <v>5</v>
      </c>
      <c r="B35" s="80" t="inlineStr">
        <is>
          <t>Khối lượng</t>
        </is>
      </c>
      <c r="C35" s="73" t="inlineStr">
        <is>
          <t>Tổng thời gian Spent time / Tổng thời gian làm việc theo lịch công ty</t>
        </is>
      </c>
      <c r="D35" s="74" t="inlineStr">
        <is>
          <t>Dữ liệu từ hệ thống Gitlab</t>
        </is>
      </c>
      <c r="E35" s="81" t="n">
        <v>3</v>
      </c>
      <c r="F35" s="75">
        <f>IF('Báo cáo công việc'!M5=0,"",'Báo cáo công việc'!M33)</f>
        <v/>
      </c>
      <c r="G35" s="75">
        <f>IF(F35="","",IF(F35&gt;=100,5,IF(F35&gt;=90,4,IF(F35&gt;=80,3,IF(F35&gt;=70,2,1)))))</f>
        <v/>
      </c>
      <c r="H35" s="39" t="n">
        <v>1</v>
      </c>
      <c r="I35" s="40" t="inlineStr">
        <is>
          <t>&lt; 70%</t>
        </is>
      </c>
      <c r="J35" s="1" t="n"/>
    </row>
    <row r="36">
      <c r="A36" s="77" t="n"/>
      <c r="B36" s="77" t="n"/>
      <c r="C36" s="78" t="n"/>
      <c r="D36" s="78" t="n"/>
      <c r="E36" s="78" t="n"/>
      <c r="F36" s="78" t="n"/>
      <c r="G36" s="78" t="n"/>
      <c r="H36" s="43" t="n">
        <v>2</v>
      </c>
      <c r="I36" s="40" t="inlineStr">
        <is>
          <t>70% - 79%</t>
        </is>
      </c>
      <c r="J36" s="1" t="n"/>
    </row>
    <row r="37">
      <c r="A37" s="77" t="n"/>
      <c r="B37" s="77" t="n"/>
      <c r="C37" s="78" t="n"/>
      <c r="D37" s="78" t="n"/>
      <c r="E37" s="78" t="n"/>
      <c r="F37" s="78" t="n"/>
      <c r="G37" s="78" t="n"/>
      <c r="H37" s="43" t="n">
        <v>3</v>
      </c>
      <c r="I37" s="40" t="inlineStr">
        <is>
          <t>80% - 89%</t>
        </is>
      </c>
      <c r="J37" s="1" t="n"/>
    </row>
    <row r="38">
      <c r="A38" s="77" t="n"/>
      <c r="B38" s="77" t="n"/>
      <c r="C38" s="78" t="n"/>
      <c r="D38" s="78" t="n"/>
      <c r="E38" s="78" t="n"/>
      <c r="F38" s="78" t="n"/>
      <c r="G38" s="78" t="n"/>
      <c r="H38" s="43" t="n">
        <v>4</v>
      </c>
      <c r="I38" s="40" t="inlineStr">
        <is>
          <t>90% - 99%</t>
        </is>
      </c>
      <c r="J38" s="1" t="n"/>
    </row>
    <row r="39">
      <c r="A39" s="79" t="n"/>
      <c r="B39" s="79" t="n"/>
      <c r="C39" s="70" t="n"/>
      <c r="D39" s="70" t="n"/>
      <c r="E39" s="70" t="n"/>
      <c r="F39" s="70" t="n"/>
      <c r="G39" s="70" t="n"/>
      <c r="H39" s="43" t="n">
        <v>5</v>
      </c>
      <c r="I39" s="40" t="inlineStr">
        <is>
          <t>≥ 100%</t>
        </is>
      </c>
      <c r="J39" s="1" t="n"/>
    </row>
    <row r="40">
      <c r="A40" s="71" t="n">
        <v>6</v>
      </c>
      <c r="B40" s="80" t="inlineStr">
        <is>
          <t>Chất lượng</t>
        </is>
      </c>
      <c r="C40" s="82" t="inlineStr">
        <is>
          <t>Tổng số task trễ hạn / Tổng số task</t>
        </is>
      </c>
      <c r="D40" s="40" t="inlineStr">
        <is>
          <t>Dữ liệu từ hệ thống Gitlab</t>
        </is>
      </c>
      <c r="E40" s="81" t="n">
        <v>3</v>
      </c>
      <c r="F40" s="83">
        <f>IF('Báo cáo công việc'!M5=0,"",'Báo cáo công việc'!M29/100)</f>
        <v/>
      </c>
      <c r="G40" s="81">
        <f>IF(F40="","",IF(F40&gt;=0.8,1,IF(F40&gt;=0.5,2,IF(F40&gt;=0.3,3,IF(F40&gt;=0.1,4,5)))))</f>
        <v/>
      </c>
      <c r="H40" s="43" t="n">
        <v>1</v>
      </c>
      <c r="I40" s="40" t="inlineStr">
        <is>
          <t>≥ 80%</t>
        </is>
      </c>
      <c r="J40" s="1" t="n"/>
    </row>
    <row r="41">
      <c r="A41" s="77" t="n"/>
      <c r="B41" s="77" t="n"/>
      <c r="C41" s="78" t="n"/>
      <c r="D41" s="78" t="n"/>
      <c r="E41" s="78" t="n"/>
      <c r="F41" s="78" t="n"/>
      <c r="G41" s="78" t="n"/>
      <c r="H41" s="43" t="n">
        <v>2</v>
      </c>
      <c r="I41" s="40" t="inlineStr">
        <is>
          <t>50% - 79%</t>
        </is>
      </c>
      <c r="J41" s="1" t="n"/>
    </row>
    <row r="42">
      <c r="A42" s="77" t="n"/>
      <c r="B42" s="77" t="n"/>
      <c r="C42" s="78" t="n"/>
      <c r="D42" s="78" t="n"/>
      <c r="E42" s="78" t="n"/>
      <c r="F42" s="78" t="n"/>
      <c r="G42" s="78" t="n"/>
      <c r="H42" s="43" t="n">
        <v>3</v>
      </c>
      <c r="I42" s="40" t="inlineStr">
        <is>
          <t>30% - 49%</t>
        </is>
      </c>
      <c r="J42" s="1" t="n"/>
    </row>
    <row r="43">
      <c r="A43" s="77" t="n"/>
      <c r="B43" s="77" t="n"/>
      <c r="C43" s="78" t="n"/>
      <c r="D43" s="78" t="n"/>
      <c r="E43" s="78" t="n"/>
      <c r="F43" s="78" t="n"/>
      <c r="G43" s="78" t="n"/>
      <c r="H43" s="43" t="n">
        <v>4</v>
      </c>
      <c r="I43" s="40" t="inlineStr">
        <is>
          <t>10% - 29%</t>
        </is>
      </c>
      <c r="J43" s="1" t="n"/>
    </row>
    <row r="44">
      <c r="A44" s="79" t="n"/>
      <c r="B44" s="77" t="n"/>
      <c r="C44" s="70" t="n"/>
      <c r="D44" s="70" t="n"/>
      <c r="E44" s="70" t="n"/>
      <c r="F44" s="70" t="n"/>
      <c r="G44" s="70" t="n"/>
      <c r="H44" s="43" t="n">
        <v>5</v>
      </c>
      <c r="I44" s="40" t="inlineStr">
        <is>
          <t>&lt; 10%</t>
        </is>
      </c>
      <c r="J44" s="1" t="n"/>
    </row>
    <row r="45">
      <c r="A45" s="71" t="n">
        <v>7</v>
      </c>
      <c r="B45" s="77" t="n"/>
      <c r="C45" s="82" t="inlineStr">
        <is>
          <t xml:space="preserve">Tổng số task có bị reopen / Tổng số task </t>
        </is>
      </c>
      <c r="D45" s="40" t="inlineStr">
        <is>
          <t>Dữ liệu từ hệ thống Gitlab</t>
        </is>
      </c>
      <c r="E45" s="81" t="n">
        <v>3</v>
      </c>
      <c r="F45" s="83">
        <f>IF('Báo cáo công việc'!M5=0,"",'Báo cáo công việc'!M31/100)</f>
        <v/>
      </c>
      <c r="G45" s="81">
        <f>IF(F45="","",IF(F45&gt;=0.8,1,IF(F45&gt;=0.5,2,IF(F45&gt;=0.3,3,IF(F45&gt;=0.1,4,5)))))</f>
        <v/>
      </c>
      <c r="H45" s="43" t="n">
        <v>1</v>
      </c>
      <c r="I45" s="40" t="inlineStr">
        <is>
          <t>≥ 80%</t>
        </is>
      </c>
      <c r="J45" s="1" t="n"/>
    </row>
    <row r="46">
      <c r="A46" s="77" t="n"/>
      <c r="B46" s="77" t="n"/>
      <c r="C46" s="78" t="n"/>
      <c r="D46" s="78" t="n"/>
      <c r="E46" s="78" t="n"/>
      <c r="F46" s="78" t="n"/>
      <c r="G46" s="78" t="n"/>
      <c r="H46" s="43" t="n">
        <v>2</v>
      </c>
      <c r="I46" s="40" t="inlineStr">
        <is>
          <t>50% - 79%</t>
        </is>
      </c>
      <c r="J46" s="1" t="n"/>
    </row>
    <row r="47">
      <c r="A47" s="77" t="n"/>
      <c r="B47" s="77" t="n"/>
      <c r="C47" s="78" t="n"/>
      <c r="D47" s="78" t="n"/>
      <c r="E47" s="78" t="n"/>
      <c r="F47" s="78" t="n"/>
      <c r="G47" s="78" t="n"/>
      <c r="H47" s="43" t="n">
        <v>3</v>
      </c>
      <c r="I47" s="40" t="inlineStr">
        <is>
          <t>30% - 49%</t>
        </is>
      </c>
      <c r="J47" s="1" t="n"/>
    </row>
    <row r="48">
      <c r="A48" s="77" t="n"/>
      <c r="B48" s="77" t="n"/>
      <c r="C48" s="78" t="n"/>
      <c r="D48" s="78" t="n"/>
      <c r="E48" s="78" t="n"/>
      <c r="F48" s="78" t="n"/>
      <c r="G48" s="78" t="n"/>
      <c r="H48" s="43" t="n">
        <v>4</v>
      </c>
      <c r="I48" s="40" t="inlineStr">
        <is>
          <t>10% - 29%</t>
        </is>
      </c>
      <c r="J48" s="1" t="n"/>
    </row>
    <row r="49" ht="21" customHeight="1" s="66">
      <c r="A49" s="79" t="n"/>
      <c r="B49" s="79" t="n"/>
      <c r="C49" s="70" t="n"/>
      <c r="D49" s="70" t="n"/>
      <c r="E49" s="70" t="n"/>
      <c r="F49" s="70" t="n"/>
      <c r="G49" s="70" t="n"/>
      <c r="H49" s="43" t="n">
        <v>5</v>
      </c>
      <c r="I49" s="40" t="inlineStr">
        <is>
          <t>&lt; 10%</t>
        </is>
      </c>
      <c r="J49" s="1" t="n"/>
    </row>
    <row r="50">
      <c r="A50" s="60" t="inlineStr">
        <is>
          <t xml:space="preserve">KPI hiệu quả </t>
        </is>
      </c>
      <c r="B50" s="69" t="n"/>
      <c r="C50" s="69" t="n"/>
      <c r="D50" s="69" t="n"/>
      <c r="E50" s="69" t="n"/>
      <c r="F50" s="68" t="n"/>
      <c r="G50" s="60">
        <f>IF('Báo cáo công việc'!M5=0,"",(E15*G15+E20*G20+E25*G25+E30*G30+E35*G35+E40*G40+E45*G45)/10)</f>
        <v/>
      </c>
      <c r="H50" s="13" t="n"/>
      <c r="I50" s="13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84" t="inlineStr">
        <is>
          <t>GIẢI TRÌNH
(Trình bày các nguyên nhân ảnh hưởng đến các thông số trên - nếu có)</t>
        </is>
      </c>
      <c r="B52" s="69" t="n"/>
      <c r="C52" s="69" t="n"/>
      <c r="D52" s="69" t="n"/>
      <c r="E52" s="69" t="n"/>
      <c r="F52" s="69" t="n"/>
      <c r="G52" s="69" t="n"/>
      <c r="H52" s="69" t="n"/>
      <c r="I52" s="68" t="n"/>
      <c r="J52" s="1" t="n"/>
    </row>
    <row r="53" ht="48" customHeight="1" s="66">
      <c r="A53" s="85" t="n"/>
      <c r="B53" s="69" t="n"/>
      <c r="C53" s="69" t="n"/>
      <c r="D53" s="69" t="n"/>
      <c r="E53" s="69" t="n"/>
      <c r="F53" s="69" t="n"/>
      <c r="G53" s="69" t="n"/>
      <c r="H53" s="69" t="n"/>
      <c r="I53" s="68" t="n"/>
      <c r="J53" s="1" t="n"/>
    </row>
    <row r="54">
      <c r="A54" s="86" t="inlineStr">
        <is>
          <t>TỰ ĐÁNH GIÁ HIỆU QUẢ</t>
        </is>
      </c>
      <c r="B54" s="69" t="n"/>
      <c r="C54" s="69" t="n"/>
      <c r="D54" s="69" t="n"/>
      <c r="E54" s="69" t="n"/>
      <c r="F54" s="69" t="n"/>
      <c r="G54" s="69" t="n"/>
      <c r="H54" s="69" t="n"/>
      <c r="I54" s="68" t="n"/>
      <c r="J54" s="1" t="n"/>
    </row>
    <row r="55" ht="44.25" customHeight="1" s="66">
      <c r="A55" s="87" t="n"/>
      <c r="B55" s="69" t="n"/>
      <c r="C55" s="69" t="n"/>
      <c r="D55" s="69" t="n"/>
      <c r="E55" s="69" t="n"/>
      <c r="F55" s="69" t="n"/>
      <c r="G55" s="69" t="n"/>
      <c r="H55" s="69" t="n"/>
      <c r="I55" s="68" t="n"/>
      <c r="J55" s="1" t="n"/>
    </row>
    <row r="56">
      <c r="A56" s="86" t="inlineStr">
        <is>
          <t>TỰ ĐÁNH GIÁ ĐIỂM CẦN CẢI THIỆN</t>
        </is>
      </c>
      <c r="B56" s="69" t="n"/>
      <c r="C56" s="69" t="n"/>
      <c r="D56" s="69" t="n"/>
      <c r="E56" s="69" t="n"/>
      <c r="F56" s="69" t="n"/>
      <c r="G56" s="69" t="n"/>
      <c r="H56" s="69" t="n"/>
      <c r="I56" s="68" t="n"/>
      <c r="J56" s="1" t="n"/>
    </row>
    <row r="57" ht="54.75" customHeight="1" s="66">
      <c r="A57" s="88" t="n"/>
      <c r="B57" s="69" t="n"/>
      <c r="C57" s="69" t="n"/>
      <c r="D57" s="69" t="n"/>
      <c r="E57" s="69" t="n"/>
      <c r="F57" s="69" t="n"/>
      <c r="G57" s="69" t="n"/>
      <c r="H57" s="69" t="n"/>
      <c r="I57" s="68" t="n"/>
      <c r="J57" s="1" t="n"/>
    </row>
  </sheetData>
  <mergeCells count="66">
    <mergeCell ref="C40:C44"/>
    <mergeCell ref="F35:F39"/>
    <mergeCell ref="B40:B49"/>
    <mergeCell ref="E40:E44"/>
    <mergeCell ref="D9:G9"/>
    <mergeCell ref="E30:E34"/>
    <mergeCell ref="G30:G34"/>
    <mergeCell ref="A11:B11"/>
    <mergeCell ref="D8:G8"/>
    <mergeCell ref="E15:E19"/>
    <mergeCell ref="A56:I56"/>
    <mergeCell ref="A20:A24"/>
    <mergeCell ref="A50:F50"/>
    <mergeCell ref="A55:I55"/>
    <mergeCell ref="D15:D19"/>
    <mergeCell ref="E45:E49"/>
    <mergeCell ref="A6:B6"/>
    <mergeCell ref="G45:G49"/>
    <mergeCell ref="G35:G39"/>
    <mergeCell ref="A57:I57"/>
    <mergeCell ref="G20:G24"/>
    <mergeCell ref="A7:B7"/>
    <mergeCell ref="D30:D34"/>
    <mergeCell ref="A35:A39"/>
    <mergeCell ref="D25:D29"/>
    <mergeCell ref="E25:E29"/>
    <mergeCell ref="G25:G29"/>
    <mergeCell ref="D20:D24"/>
    <mergeCell ref="B15:B34"/>
    <mergeCell ref="A53:I53"/>
    <mergeCell ref="D10:G10"/>
    <mergeCell ref="G40:G44"/>
    <mergeCell ref="C15:C19"/>
    <mergeCell ref="B35:B39"/>
    <mergeCell ref="A52:I52"/>
    <mergeCell ref="D35:D39"/>
    <mergeCell ref="A40:A44"/>
    <mergeCell ref="A1:J1"/>
    <mergeCell ref="A30:A34"/>
    <mergeCell ref="C30:C34"/>
    <mergeCell ref="A15:A19"/>
    <mergeCell ref="D6:G6"/>
    <mergeCell ref="F25:F29"/>
    <mergeCell ref="E20:E24"/>
    <mergeCell ref="D11:G11"/>
    <mergeCell ref="A45:A49"/>
    <mergeCell ref="A8:B8"/>
    <mergeCell ref="F15:F19"/>
    <mergeCell ref="C45:C49"/>
    <mergeCell ref="F20:F24"/>
    <mergeCell ref="D40:D44"/>
    <mergeCell ref="C35:C39"/>
    <mergeCell ref="F40:F44"/>
    <mergeCell ref="E35:E39"/>
    <mergeCell ref="D45:D49"/>
    <mergeCell ref="F30:F34"/>
    <mergeCell ref="A25:A29"/>
    <mergeCell ref="C20:C24"/>
    <mergeCell ref="A10:B10"/>
    <mergeCell ref="C25:C29"/>
    <mergeCell ref="D7:G7"/>
    <mergeCell ref="H14:I14"/>
    <mergeCell ref="A9:B9"/>
    <mergeCell ref="F45:F49"/>
    <mergeCell ref="G15:G19"/>
    <mergeCell ref="A54:I5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2025-05-10T01:27:03Z</dcterms:created>
  <dcterms:modified xsi:type="dcterms:W3CDTF">2026-10-06T06:54:34Z</dcterms:modified>
</cp:coreProperties>
</file>